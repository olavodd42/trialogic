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lavoDefendiDalberto\Projetos\TriaLogic\"/>
    </mc:Choice>
  </mc:AlternateContent>
  <xr:revisionPtr revIDLastSave="0" documentId="8_{0F3A35C4-81CA-4FAA-8387-8AEC636F3EE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3 (2)" sheetId="4" r:id="rId1"/>
    <sheet name="Sheet1" sheetId="1" r:id="rId2"/>
  </sheets>
  <definedNames>
    <definedName name="DadosExternos_1" localSheetId="0" hidden="1">'Tabela3 (2)'!$A:$A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6" i="1" l="1"/>
  <c r="O108" i="1"/>
  <c r="O110" i="1"/>
  <c r="O116" i="1"/>
  <c r="O118" i="1"/>
  <c r="O120" i="1"/>
  <c r="O121" i="1"/>
  <c r="O122" i="1"/>
  <c r="O123" i="1"/>
  <c r="O129" i="1"/>
  <c r="O130" i="1"/>
  <c r="O133" i="1"/>
  <c r="O148" i="1"/>
  <c r="O149" i="1"/>
  <c r="O150" i="1"/>
  <c r="M133" i="1"/>
  <c r="O94" i="1"/>
  <c r="O95" i="1"/>
  <c r="O128" i="1"/>
  <c r="O96" i="1"/>
  <c r="O97" i="1"/>
  <c r="O99" i="1"/>
  <c r="O100" i="1"/>
  <c r="O101" i="1"/>
  <c r="O102" i="1"/>
  <c r="O103" i="1"/>
  <c r="O104" i="1"/>
  <c r="O105" i="1"/>
  <c r="O107" i="1"/>
  <c r="O109" i="1"/>
  <c r="O111" i="1"/>
  <c r="O112" i="1"/>
  <c r="O113" i="1"/>
  <c r="O114" i="1"/>
  <c r="O115" i="1"/>
  <c r="O124" i="1"/>
  <c r="O125" i="1"/>
  <c r="N127" i="1"/>
  <c r="O135" i="1"/>
  <c r="O136" i="1"/>
  <c r="O137" i="1"/>
  <c r="O138" i="1"/>
  <c r="O139" i="1"/>
  <c r="O141" i="1"/>
  <c r="O145" i="1"/>
  <c r="O147" i="1"/>
  <c r="O152" i="1"/>
  <c r="O154" i="1"/>
  <c r="O155" i="1"/>
  <c r="M89" i="1"/>
  <c r="M90" i="1"/>
  <c r="M91" i="1"/>
  <c r="M92" i="1"/>
  <c r="M93" i="1"/>
  <c r="M94" i="1"/>
  <c r="M95" i="1"/>
  <c r="N95" i="1" s="1"/>
  <c r="M96" i="1"/>
  <c r="N96" i="1" s="1"/>
  <c r="M97" i="1"/>
  <c r="M98" i="1"/>
  <c r="M99" i="1"/>
  <c r="M100" i="1"/>
  <c r="N100" i="1" s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N125" i="1" s="1"/>
  <c r="M126" i="1"/>
  <c r="N126" i="1" s="1"/>
  <c r="M127" i="1"/>
  <c r="M128" i="1"/>
  <c r="M129" i="1"/>
  <c r="M130" i="1"/>
  <c r="M131" i="1"/>
  <c r="M132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88" i="1"/>
  <c r="O90" i="1"/>
  <c r="O92" i="1"/>
  <c r="O93" i="1"/>
  <c r="O88" i="1"/>
  <c r="O127" i="1" l="1"/>
  <c r="O126" i="1"/>
  <c r="N134" i="1"/>
  <c r="N132" i="1"/>
  <c r="N105" i="1"/>
  <c r="N143" i="1"/>
  <c r="N131" i="1"/>
  <c r="N130" i="1"/>
  <c r="N140" i="1"/>
  <c r="N133" i="1"/>
  <c r="N155" i="1"/>
  <c r="N154" i="1"/>
  <c r="N151" i="1"/>
  <c r="O151" i="1"/>
  <c r="N150" i="1"/>
  <c r="N149" i="1"/>
  <c r="N148" i="1"/>
  <c r="N147" i="1"/>
  <c r="N145" i="1"/>
  <c r="N144" i="1"/>
  <c r="O144" i="1"/>
  <c r="O143" i="1"/>
  <c r="N142" i="1"/>
  <c r="O142" i="1"/>
  <c r="N141" i="1"/>
  <c r="O140" i="1"/>
  <c r="N139" i="1"/>
  <c r="N138" i="1"/>
  <c r="N137" i="1"/>
  <c r="N136" i="1"/>
  <c r="O134" i="1"/>
  <c r="O132" i="1"/>
  <c r="O131" i="1"/>
  <c r="N129" i="1"/>
  <c r="N128" i="1"/>
  <c r="N121" i="1"/>
  <c r="N120" i="1"/>
  <c r="N118" i="1"/>
  <c r="N116" i="1"/>
  <c r="N115" i="1"/>
  <c r="N111" i="1"/>
  <c r="N110" i="1"/>
  <c r="N109" i="1"/>
  <c r="N108" i="1"/>
  <c r="N107" i="1"/>
  <c r="N106" i="1"/>
  <c r="N113" i="1"/>
  <c r="N112" i="1"/>
  <c r="N122" i="1"/>
  <c r="N123" i="1"/>
  <c r="N101" i="1"/>
  <c r="N99" i="1"/>
  <c r="N93" i="1"/>
  <c r="N102" i="1"/>
  <c r="N94" i="1"/>
  <c r="N152" i="1"/>
  <c r="N135" i="1"/>
  <c r="N124" i="1"/>
  <c r="N114" i="1"/>
  <c r="N104" i="1"/>
  <c r="N97" i="1"/>
  <c r="N103" i="1"/>
  <c r="N92" i="1"/>
  <c r="N90" i="1"/>
  <c r="N8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31AEAE-4745-4E16-9838-0C56EA4963B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  <connection id="2" xr16:uid="{5704D768-8B11-415E-81E4-20A39AAFEDAF}" keepAlive="1" name="Consulta - Tabela3" description="Conexão com a consulta 'Tabela3' na pasta de trabalho." type="5" refreshedVersion="0" background="1">
    <dbPr connection="Provider=Microsoft.Mashup.OleDb.1;Data Source=$Workbook$;Location=Tabela3;Extended Properties=&quot;&quot;" command="SELECT * FROM [Tabela3]"/>
  </connection>
  <connection id="3" xr16:uid="{7EA10784-0F11-4703-AD00-74D1EE642939}" keepAlive="1" name="Consulta - Tabela3 (2)" description="Conexão com a consulta 'Tabela3 (2)' na pasta de trabalho." type="5" refreshedVersion="8" background="1" saveData="1">
    <dbPr connection="Provider=Microsoft.Mashup.OleDb.1;Data Source=$Workbook$;Location=&quot;Tabela3 (2)&quot;;Extended Properties=&quot;&quot;" command="SELECT * FROM [Tabela3 (2)]"/>
  </connection>
  <connection id="4" xr16:uid="{CD7FDCD1-F6A0-4B0C-BAE5-A0057952916B}" keepAlive="1" name="Consulta - Tabela3 (3)" description="Conexão com a consulta 'Tabela3 (3)' na pasta de trabalho." type="5" refreshedVersion="8" background="1" saveData="1">
    <dbPr connection="Provider=Microsoft.Mashup.OleDb.1;Data Source=$Workbook$;Location=&quot;Tabela3 (3)&quot;;Extended Properties=&quot;&quot;" command="SELECT * FROM [Tabela3 (3)]"/>
  </connection>
</connections>
</file>

<file path=xl/sharedStrings.xml><?xml version="1.0" encoding="utf-8"?>
<sst xmlns="http://schemas.openxmlformats.org/spreadsheetml/2006/main" count="453" uniqueCount="24">
  <si>
    <t>subject_id</t>
  </si>
  <si>
    <t>hadm_id</t>
  </si>
  <si>
    <t>cohort</t>
  </si>
  <si>
    <t>temperature_fahrenheit</t>
  </si>
  <si>
    <t>temperature_celsius</t>
  </si>
  <si>
    <t>sbp</t>
  </si>
  <si>
    <t>dbp</t>
  </si>
  <si>
    <t>heartrate</t>
  </si>
  <si>
    <t>resprate</t>
  </si>
  <si>
    <t>o2sat</t>
  </si>
  <si>
    <t>supplemental_oxygen</t>
  </si>
  <si>
    <t>acvpu</t>
  </si>
  <si>
    <t>avpu</t>
  </si>
  <si>
    <t>mews</t>
  </si>
  <si>
    <t>news</t>
  </si>
  <si>
    <t>trauma</t>
  </si>
  <si>
    <t>Alert</t>
  </si>
  <si>
    <t>chest pain</t>
  </si>
  <si>
    <t>sepsis</t>
  </si>
  <si>
    <t>Confusion</t>
  </si>
  <si>
    <t>Unresponsive</t>
  </si>
  <si>
    <t>Pain</t>
  </si>
  <si>
    <t>Voice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</si>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</sst>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2" borderId="2" xfId="0" applyFont="1" applyFill="1" applyBorder="1"/>
    <xf numFmtId="0" fontId="0" fillId="3" borderId="2" xfId="0" applyFill="1" applyBorder="1"/>
    <xf numFmtId="0" fontId="0" fillId="0" borderId="2" xfId="0" applyBorder="1"/>
    <xf numFmtId="0" fontId="3" fillId="2" borderId="3" xfId="0" applyFont="1" applyFill="1" applyBorder="1"/>
    <xf numFmtId="0" fontId="0" fillId="3" borderId="3" xfId="0" applyFill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181D84EC-74B0-4EFE-AEF1-548B4DE4E519}" autoFormatId="16" applyNumberFormats="0" applyBorderFormats="0" applyFontFormats="0" applyPatternFormats="0" applyAlignmentFormats="0" applyWidthHeightFormats="0">
  <queryTableRefresh nextId="2">
    <queryTableFields count="1">
      <queryTableField id="1" name="temperature_celsius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2582D6E-2F4E-4143-89AB-CEE80C3F840D}" name="Tabela3__2" displayName="Tabela3__2" ref="A1:A1048576" tableType="queryTable" totalsRowShown="0">
  <autoFilter ref="A1:A1048576" xr:uid="{02582D6E-2F4E-4143-89AB-CEE80C3F840D}"/>
  <tableColumns count="1">
    <tableColumn id="1" xr3:uid="{31BB8130-1497-41E6-8A95-227E36078C1F}" uniqueName="1" name="temperature_celsius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3B7D0-0D63-49E3-9C74-320074ABDE7B}">
  <dimension ref="A1:A181"/>
  <sheetViews>
    <sheetView workbookViewId="0">
      <selection sqref="A1:A1048576"/>
    </sheetView>
  </sheetViews>
  <sheetFormatPr defaultRowHeight="14.4" x14ac:dyDescent="0.3"/>
  <cols>
    <col min="1" max="1" width="20.44140625" bestFit="1" customWidth="1"/>
  </cols>
  <sheetData>
    <row r="1" spans="1:1" x14ac:dyDescent="0.3">
      <c r="A1" t="s">
        <v>4</v>
      </c>
    </row>
    <row r="2" spans="1:1" x14ac:dyDescent="0.3">
      <c r="A2">
        <v>37.9</v>
      </c>
    </row>
    <row r="3" spans="1:1" x14ac:dyDescent="0.3">
      <c r="A3">
        <v>36.700000000000003</v>
      </c>
    </row>
    <row r="4" spans="1:1" x14ac:dyDescent="0.3">
      <c r="A4">
        <v>36.299999999999997</v>
      </c>
    </row>
    <row r="5" spans="1:1" x14ac:dyDescent="0.3">
      <c r="A5">
        <v>36.799999999999997</v>
      </c>
    </row>
    <row r="6" spans="1:1" x14ac:dyDescent="0.3">
      <c r="A6">
        <v>36.9</v>
      </c>
    </row>
    <row r="7" spans="1:1" x14ac:dyDescent="0.3">
      <c r="A7">
        <v>37.1</v>
      </c>
    </row>
    <row r="8" spans="1:1" x14ac:dyDescent="0.3">
      <c r="A8">
        <v>36.5</v>
      </c>
    </row>
    <row r="9" spans="1:1" x14ac:dyDescent="0.3">
      <c r="A9">
        <v>37.1</v>
      </c>
    </row>
    <row r="10" spans="1:1" x14ac:dyDescent="0.3">
      <c r="A10">
        <v>36.799999999999997</v>
      </c>
    </row>
    <row r="12" spans="1:1" x14ac:dyDescent="0.3">
      <c r="A12">
        <v>36.4</v>
      </c>
    </row>
    <row r="13" spans="1:1" x14ac:dyDescent="0.3">
      <c r="A13">
        <v>37.6</v>
      </c>
    </row>
    <row r="14" spans="1:1" x14ac:dyDescent="0.3">
      <c r="A14">
        <v>36.799999999999997</v>
      </c>
    </row>
    <row r="15" spans="1:1" x14ac:dyDescent="0.3">
      <c r="A15">
        <v>36.9</v>
      </c>
    </row>
    <row r="16" spans="1:1" x14ac:dyDescent="0.3">
      <c r="A16">
        <v>36.799999999999997</v>
      </c>
    </row>
    <row r="17" spans="1:1" x14ac:dyDescent="0.3">
      <c r="A17">
        <v>37.700000000000003</v>
      </c>
    </row>
    <row r="18" spans="1:1" x14ac:dyDescent="0.3">
      <c r="A18">
        <v>37</v>
      </c>
    </row>
    <row r="19" spans="1:1" x14ac:dyDescent="0.3">
      <c r="A19">
        <v>37</v>
      </c>
    </row>
    <row r="20" spans="1:1" x14ac:dyDescent="0.3">
      <c r="A20">
        <v>36.9</v>
      </c>
    </row>
    <row r="21" spans="1:1" x14ac:dyDescent="0.3">
      <c r="A21">
        <v>37</v>
      </c>
    </row>
    <row r="22" spans="1:1" x14ac:dyDescent="0.3">
      <c r="A22">
        <v>36.700000000000003</v>
      </c>
    </row>
    <row r="23" spans="1:1" x14ac:dyDescent="0.3">
      <c r="A23">
        <v>36.700000000000003</v>
      </c>
    </row>
    <row r="25" spans="1:1" x14ac:dyDescent="0.3">
      <c r="A25">
        <v>36.4</v>
      </c>
    </row>
    <row r="26" spans="1:1" x14ac:dyDescent="0.3">
      <c r="A26">
        <v>36.5</v>
      </c>
    </row>
    <row r="27" spans="1:1" x14ac:dyDescent="0.3">
      <c r="A27">
        <v>36.5</v>
      </c>
    </row>
    <row r="28" spans="1:1" x14ac:dyDescent="0.3">
      <c r="A28">
        <v>36.6</v>
      </c>
    </row>
    <row r="30" spans="1:1" x14ac:dyDescent="0.3">
      <c r="A30">
        <v>36.5</v>
      </c>
    </row>
    <row r="31" spans="1:1" x14ac:dyDescent="0.3">
      <c r="A31">
        <v>37.1</v>
      </c>
    </row>
    <row r="32" spans="1:1" x14ac:dyDescent="0.3">
      <c r="A32">
        <v>36.799999999999997</v>
      </c>
    </row>
    <row r="33" spans="1:1" x14ac:dyDescent="0.3">
      <c r="A33">
        <v>36.200000000000003</v>
      </c>
    </row>
    <row r="34" spans="1:1" x14ac:dyDescent="0.3">
      <c r="A34">
        <v>36.4</v>
      </c>
    </row>
    <row r="35" spans="1:1" x14ac:dyDescent="0.3">
      <c r="A35">
        <v>36.700000000000003</v>
      </c>
    </row>
    <row r="36" spans="1:1" x14ac:dyDescent="0.3">
      <c r="A36">
        <v>36.5</v>
      </c>
    </row>
    <row r="38" spans="1:1" x14ac:dyDescent="0.3">
      <c r="A38">
        <v>36.6</v>
      </c>
    </row>
    <row r="39" spans="1:1" x14ac:dyDescent="0.3">
      <c r="A39">
        <v>35.9</v>
      </c>
    </row>
    <row r="40" spans="1:1" x14ac:dyDescent="0.3">
      <c r="A40">
        <v>36.6</v>
      </c>
    </row>
    <row r="41" spans="1:1" x14ac:dyDescent="0.3">
      <c r="A41">
        <v>37.1</v>
      </c>
    </row>
    <row r="42" spans="1:1" x14ac:dyDescent="0.3">
      <c r="A42">
        <v>36.9</v>
      </c>
    </row>
    <row r="43" spans="1:1" x14ac:dyDescent="0.3">
      <c r="A43">
        <v>36.299999999999997</v>
      </c>
    </row>
    <row r="44" spans="1:1" x14ac:dyDescent="0.3">
      <c r="A44">
        <v>37.1</v>
      </c>
    </row>
    <row r="45" spans="1:1" x14ac:dyDescent="0.3">
      <c r="A45">
        <v>36.799999999999997</v>
      </c>
    </row>
    <row r="46" spans="1:1" x14ac:dyDescent="0.3">
      <c r="A46">
        <v>36.700000000000003</v>
      </c>
    </row>
    <row r="47" spans="1:1" x14ac:dyDescent="0.3">
      <c r="A47">
        <v>37</v>
      </c>
    </row>
    <row r="48" spans="1:1" x14ac:dyDescent="0.3">
      <c r="A48">
        <v>37</v>
      </c>
    </row>
    <row r="49" spans="1:1" x14ac:dyDescent="0.3">
      <c r="A49">
        <v>33.5</v>
      </c>
    </row>
    <row r="50" spans="1:1" x14ac:dyDescent="0.3">
      <c r="A50">
        <v>36.1</v>
      </c>
    </row>
    <row r="51" spans="1:1" x14ac:dyDescent="0.3">
      <c r="A51">
        <v>36.1</v>
      </c>
    </row>
    <row r="52" spans="1:1" x14ac:dyDescent="0.3">
      <c r="A52">
        <v>36.700000000000003</v>
      </c>
    </row>
    <row r="54" spans="1:1" x14ac:dyDescent="0.3">
      <c r="A54">
        <v>36.700000000000003</v>
      </c>
    </row>
    <row r="56" spans="1:1" x14ac:dyDescent="0.3">
      <c r="A56">
        <v>36.700000000000003</v>
      </c>
    </row>
    <row r="57" spans="1:1" x14ac:dyDescent="0.3">
      <c r="A57">
        <v>36.9</v>
      </c>
    </row>
    <row r="58" spans="1:1" x14ac:dyDescent="0.3">
      <c r="A58">
        <v>36.5</v>
      </c>
    </row>
    <row r="59" spans="1:1" x14ac:dyDescent="0.3">
      <c r="A59">
        <v>37.299999999999997</v>
      </c>
    </row>
    <row r="60" spans="1:1" x14ac:dyDescent="0.3">
      <c r="A60">
        <v>36.5</v>
      </c>
    </row>
    <row r="62" spans="1:1" x14ac:dyDescent="0.3">
      <c r="A62">
        <v>36.5</v>
      </c>
    </row>
    <row r="63" spans="1:1" x14ac:dyDescent="0.3">
      <c r="A63">
        <v>36.6</v>
      </c>
    </row>
    <row r="64" spans="1:1" x14ac:dyDescent="0.3">
      <c r="A64">
        <v>36.799999999999997</v>
      </c>
    </row>
    <row r="65" spans="1:1" x14ac:dyDescent="0.3">
      <c r="A65">
        <v>36.5</v>
      </c>
    </row>
    <row r="66" spans="1:1" x14ac:dyDescent="0.3">
      <c r="A66">
        <v>36.799999999999997</v>
      </c>
    </row>
    <row r="70" spans="1:1" x14ac:dyDescent="0.3">
      <c r="A70">
        <v>36.5</v>
      </c>
    </row>
    <row r="71" spans="1:1" x14ac:dyDescent="0.3">
      <c r="A71">
        <v>37.700000000000003</v>
      </c>
    </row>
    <row r="72" spans="1:1" x14ac:dyDescent="0.3">
      <c r="A72">
        <v>37</v>
      </c>
    </row>
    <row r="73" spans="1:1" x14ac:dyDescent="0.3">
      <c r="A73">
        <v>37.4</v>
      </c>
    </row>
    <row r="74" spans="1:1" x14ac:dyDescent="0.3">
      <c r="A74">
        <v>35.799999999999997</v>
      </c>
    </row>
    <row r="75" spans="1:1" x14ac:dyDescent="0.3">
      <c r="A75">
        <v>37</v>
      </c>
    </row>
    <row r="76" spans="1:1" x14ac:dyDescent="0.3">
      <c r="A76">
        <v>36.6</v>
      </c>
    </row>
    <row r="77" spans="1:1" x14ac:dyDescent="0.3">
      <c r="A77">
        <v>36.1</v>
      </c>
    </row>
    <row r="78" spans="1:1" x14ac:dyDescent="0.3">
      <c r="A78">
        <v>37.299999999999997</v>
      </c>
    </row>
    <row r="79" spans="1:1" x14ac:dyDescent="0.3">
      <c r="A79">
        <v>36.299999999999997</v>
      </c>
    </row>
    <row r="80" spans="1:1" x14ac:dyDescent="0.3">
      <c r="A80">
        <v>36.799999999999997</v>
      </c>
    </row>
    <row r="81" spans="1:1" x14ac:dyDescent="0.3">
      <c r="A81">
        <v>36.4</v>
      </c>
    </row>
    <row r="82" spans="1:1" x14ac:dyDescent="0.3">
      <c r="A82">
        <v>36.5</v>
      </c>
    </row>
    <row r="83" spans="1:1" x14ac:dyDescent="0.3">
      <c r="A83">
        <v>36.6</v>
      </c>
    </row>
    <row r="85" spans="1:1" x14ac:dyDescent="0.3">
      <c r="A85">
        <v>37.1</v>
      </c>
    </row>
    <row r="86" spans="1:1" x14ac:dyDescent="0.3">
      <c r="A86">
        <v>39.1</v>
      </c>
    </row>
    <row r="87" spans="1:1" x14ac:dyDescent="0.3">
      <c r="A87">
        <v>36.5</v>
      </c>
    </row>
    <row r="88" spans="1:1" x14ac:dyDescent="0.3">
      <c r="A88">
        <v>37</v>
      </c>
    </row>
    <row r="89" spans="1:1" x14ac:dyDescent="0.3">
      <c r="A89">
        <v>36.4</v>
      </c>
    </row>
    <row r="90" spans="1:1" x14ac:dyDescent="0.3">
      <c r="A90">
        <v>39.200000000000003</v>
      </c>
    </row>
    <row r="92" spans="1:1" x14ac:dyDescent="0.3">
      <c r="A92">
        <v>37.200000000000003</v>
      </c>
    </row>
    <row r="93" spans="1:1" x14ac:dyDescent="0.3">
      <c r="A93">
        <v>37.4</v>
      </c>
    </row>
    <row r="94" spans="1:1" x14ac:dyDescent="0.3">
      <c r="A94">
        <v>37</v>
      </c>
    </row>
    <row r="95" spans="1:1" x14ac:dyDescent="0.3">
      <c r="A95">
        <v>36.299999999999997</v>
      </c>
    </row>
    <row r="97" spans="1:1" x14ac:dyDescent="0.3">
      <c r="A97">
        <v>35.4</v>
      </c>
    </row>
    <row r="98" spans="1:1" x14ac:dyDescent="0.3">
      <c r="A98">
        <v>36.799999999999997</v>
      </c>
    </row>
    <row r="99" spans="1:1" x14ac:dyDescent="0.3">
      <c r="A99">
        <v>35.6</v>
      </c>
    </row>
    <row r="100" spans="1:1" x14ac:dyDescent="0.3">
      <c r="A100">
        <v>36.6</v>
      </c>
    </row>
    <row r="101" spans="1:1" x14ac:dyDescent="0.3">
      <c r="A101">
        <v>37.9</v>
      </c>
    </row>
    <row r="103" spans="1:1" x14ac:dyDescent="0.3">
      <c r="A103">
        <v>36.200000000000003</v>
      </c>
    </row>
    <row r="105" spans="1:1" x14ac:dyDescent="0.3">
      <c r="A105">
        <v>37.200000000000003</v>
      </c>
    </row>
    <row r="106" spans="1:1" x14ac:dyDescent="0.3">
      <c r="A106">
        <v>37.1</v>
      </c>
    </row>
    <row r="107" spans="1:1" x14ac:dyDescent="0.3">
      <c r="A107">
        <v>2.6</v>
      </c>
    </row>
    <row r="108" spans="1:1" x14ac:dyDescent="0.3">
      <c r="A108">
        <v>36.700000000000003</v>
      </c>
    </row>
    <row r="109" spans="1:1" x14ac:dyDescent="0.3">
      <c r="A109">
        <v>36.6</v>
      </c>
    </row>
    <row r="110" spans="1:1" x14ac:dyDescent="0.3">
      <c r="A110">
        <v>37.1</v>
      </c>
    </row>
    <row r="112" spans="1:1" x14ac:dyDescent="0.3">
      <c r="A112">
        <v>37.5</v>
      </c>
    </row>
    <row r="113" spans="1:1" x14ac:dyDescent="0.3">
      <c r="A113">
        <v>37.4</v>
      </c>
    </row>
    <row r="114" spans="1:1" x14ac:dyDescent="0.3">
      <c r="A114">
        <v>36.299999999999997</v>
      </c>
    </row>
    <row r="115" spans="1:1" x14ac:dyDescent="0.3">
      <c r="A115">
        <v>36.700000000000003</v>
      </c>
    </row>
    <row r="116" spans="1:1" x14ac:dyDescent="0.3">
      <c r="A116">
        <v>36.6</v>
      </c>
    </row>
    <row r="117" spans="1:1" x14ac:dyDescent="0.3">
      <c r="A117">
        <v>37.299999999999997</v>
      </c>
    </row>
    <row r="118" spans="1:1" x14ac:dyDescent="0.3">
      <c r="A118">
        <v>36.700000000000003</v>
      </c>
    </row>
    <row r="119" spans="1:1" x14ac:dyDescent="0.3">
      <c r="A119">
        <v>36.4</v>
      </c>
    </row>
    <row r="120" spans="1:1" x14ac:dyDescent="0.3">
      <c r="A120">
        <v>36.200000000000003</v>
      </c>
    </row>
    <row r="121" spans="1:1" x14ac:dyDescent="0.3">
      <c r="A121">
        <v>37.200000000000003</v>
      </c>
    </row>
    <row r="122" spans="1:1" x14ac:dyDescent="0.3">
      <c r="A122">
        <v>36.4</v>
      </c>
    </row>
    <row r="123" spans="1:1" x14ac:dyDescent="0.3">
      <c r="A123">
        <v>35.700000000000003</v>
      </c>
    </row>
    <row r="124" spans="1:1" x14ac:dyDescent="0.3">
      <c r="A124">
        <v>37.200000000000003</v>
      </c>
    </row>
    <row r="125" spans="1:1" x14ac:dyDescent="0.3">
      <c r="A125">
        <v>36.6</v>
      </c>
    </row>
    <row r="126" spans="1:1" x14ac:dyDescent="0.3">
      <c r="A126">
        <v>37.299999999999997</v>
      </c>
    </row>
    <row r="127" spans="1:1" x14ac:dyDescent="0.3">
      <c r="A127">
        <v>37.1</v>
      </c>
    </row>
    <row r="128" spans="1:1" x14ac:dyDescent="0.3">
      <c r="A128">
        <v>37.299999999999997</v>
      </c>
    </row>
    <row r="129" spans="1:1" x14ac:dyDescent="0.3">
      <c r="A129">
        <v>36.700000000000003</v>
      </c>
    </row>
    <row r="130" spans="1:1" x14ac:dyDescent="0.3">
      <c r="A130">
        <v>36.700000000000003</v>
      </c>
    </row>
    <row r="131" spans="1:1" x14ac:dyDescent="0.3">
      <c r="A131">
        <v>36.4</v>
      </c>
    </row>
    <row r="132" spans="1:1" x14ac:dyDescent="0.3">
      <c r="A132">
        <v>37.299999999999997</v>
      </c>
    </row>
    <row r="133" spans="1:1" x14ac:dyDescent="0.3">
      <c r="A133">
        <v>36.9</v>
      </c>
    </row>
    <row r="134" spans="1:1" x14ac:dyDescent="0.3">
      <c r="A134">
        <v>35.9</v>
      </c>
    </row>
    <row r="135" spans="1:1" x14ac:dyDescent="0.3">
      <c r="A135">
        <v>36.9</v>
      </c>
    </row>
    <row r="137" spans="1:1" x14ac:dyDescent="0.3">
      <c r="A137">
        <v>36.799999999999997</v>
      </c>
    </row>
    <row r="138" spans="1:1" x14ac:dyDescent="0.3">
      <c r="A138">
        <v>36.5</v>
      </c>
    </row>
    <row r="139" spans="1:1" x14ac:dyDescent="0.3">
      <c r="A139">
        <v>36.6</v>
      </c>
    </row>
    <row r="140" spans="1:1" x14ac:dyDescent="0.3">
      <c r="A140">
        <v>36.9</v>
      </c>
    </row>
    <row r="141" spans="1:1" x14ac:dyDescent="0.3">
      <c r="A141">
        <v>36.799999999999997</v>
      </c>
    </row>
    <row r="142" spans="1:1" x14ac:dyDescent="0.3">
      <c r="A142">
        <v>36.799999999999997</v>
      </c>
    </row>
    <row r="143" spans="1:1" x14ac:dyDescent="0.3">
      <c r="A143">
        <v>36.799999999999997</v>
      </c>
    </row>
    <row r="144" spans="1:1" x14ac:dyDescent="0.3">
      <c r="A144">
        <v>37.799999999999997</v>
      </c>
    </row>
    <row r="145" spans="1:1" x14ac:dyDescent="0.3">
      <c r="A145">
        <v>37.1</v>
      </c>
    </row>
    <row r="146" spans="1:1" x14ac:dyDescent="0.3">
      <c r="A146">
        <v>39.4</v>
      </c>
    </row>
    <row r="147" spans="1:1" x14ac:dyDescent="0.3">
      <c r="A147">
        <v>36.6</v>
      </c>
    </row>
    <row r="148" spans="1:1" x14ac:dyDescent="0.3">
      <c r="A148">
        <v>36.4</v>
      </c>
    </row>
    <row r="149" spans="1:1" x14ac:dyDescent="0.3">
      <c r="A149">
        <v>36.700000000000003</v>
      </c>
    </row>
    <row r="150" spans="1:1" x14ac:dyDescent="0.3">
      <c r="A150">
        <v>36.799999999999997</v>
      </c>
    </row>
    <row r="151" spans="1:1" x14ac:dyDescent="0.3">
      <c r="A151">
        <v>37.9</v>
      </c>
    </row>
    <row r="152" spans="1:1" x14ac:dyDescent="0.3">
      <c r="A152">
        <v>36.700000000000003</v>
      </c>
    </row>
    <row r="153" spans="1:1" x14ac:dyDescent="0.3">
      <c r="A153">
        <v>36.799999999999997</v>
      </c>
    </row>
    <row r="154" spans="1:1" x14ac:dyDescent="0.3">
      <c r="A154">
        <v>37.6</v>
      </c>
    </row>
    <row r="155" spans="1:1" x14ac:dyDescent="0.3">
      <c r="A155">
        <v>36.9</v>
      </c>
    </row>
    <row r="156" spans="1:1" x14ac:dyDescent="0.3">
      <c r="A156">
        <v>36.700000000000003</v>
      </c>
    </row>
    <row r="157" spans="1:1" x14ac:dyDescent="0.3">
      <c r="A157">
        <v>36.1</v>
      </c>
    </row>
    <row r="158" spans="1:1" x14ac:dyDescent="0.3">
      <c r="A158">
        <v>37.200000000000003</v>
      </c>
    </row>
    <row r="159" spans="1:1" x14ac:dyDescent="0.3">
      <c r="A159">
        <v>36.6</v>
      </c>
    </row>
    <row r="160" spans="1:1" x14ac:dyDescent="0.3">
      <c r="A160">
        <v>38</v>
      </c>
    </row>
    <row r="161" spans="1:1" x14ac:dyDescent="0.3">
      <c r="A161">
        <v>36.799999999999997</v>
      </c>
    </row>
    <row r="162" spans="1:1" x14ac:dyDescent="0.3">
      <c r="A162">
        <v>37.6</v>
      </c>
    </row>
    <row r="163" spans="1:1" x14ac:dyDescent="0.3">
      <c r="A163">
        <v>36.700000000000003</v>
      </c>
    </row>
    <row r="164" spans="1:1" x14ac:dyDescent="0.3">
      <c r="A164">
        <v>36.700000000000003</v>
      </c>
    </row>
    <row r="165" spans="1:1" x14ac:dyDescent="0.3">
      <c r="A165">
        <v>37.1</v>
      </c>
    </row>
    <row r="166" spans="1:1" x14ac:dyDescent="0.3">
      <c r="A166">
        <v>37.5</v>
      </c>
    </row>
    <row r="167" spans="1:1" x14ac:dyDescent="0.3">
      <c r="A167">
        <v>36.9</v>
      </c>
    </row>
    <row r="168" spans="1:1" x14ac:dyDescent="0.3">
      <c r="A168">
        <v>37.1</v>
      </c>
    </row>
    <row r="169" spans="1:1" x14ac:dyDescent="0.3">
      <c r="A169">
        <v>37.200000000000003</v>
      </c>
    </row>
    <row r="170" spans="1:1" x14ac:dyDescent="0.3">
      <c r="A170">
        <v>37.1</v>
      </c>
    </row>
    <row r="171" spans="1:1" x14ac:dyDescent="0.3">
      <c r="A171">
        <v>36.5</v>
      </c>
    </row>
    <row r="172" spans="1:1" x14ac:dyDescent="0.3">
      <c r="A172">
        <v>36.6</v>
      </c>
    </row>
    <row r="173" spans="1:1" x14ac:dyDescent="0.3">
      <c r="A173">
        <v>37</v>
      </c>
    </row>
    <row r="174" spans="1:1" x14ac:dyDescent="0.3">
      <c r="A174">
        <v>37.1</v>
      </c>
    </row>
    <row r="175" spans="1:1" x14ac:dyDescent="0.3">
      <c r="A175">
        <v>36.9</v>
      </c>
    </row>
    <row r="176" spans="1:1" x14ac:dyDescent="0.3">
      <c r="A176">
        <v>37.1</v>
      </c>
    </row>
    <row r="177" spans="1:1" x14ac:dyDescent="0.3">
      <c r="A177">
        <v>36.700000000000003</v>
      </c>
    </row>
    <row r="178" spans="1:1" x14ac:dyDescent="0.3">
      <c r="A178">
        <v>36.5</v>
      </c>
    </row>
    <row r="180" spans="1:1" x14ac:dyDescent="0.3">
      <c r="A180">
        <v>36.9</v>
      </c>
    </row>
    <row r="181" spans="1:1" x14ac:dyDescent="0.3">
      <c r="A181">
        <v>36.700000000000003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"/>
  <sheetViews>
    <sheetView tabSelected="1" topLeftCell="A154" zoomScale="104" zoomScaleNormal="145" workbookViewId="0">
      <selection activeCell="A157" sqref="A157"/>
    </sheetView>
  </sheetViews>
  <sheetFormatPr defaultRowHeight="14.4" x14ac:dyDescent="0.3"/>
  <cols>
    <col min="1" max="1" width="15.88671875" customWidth="1"/>
    <col min="2" max="2" width="18.77734375" customWidth="1"/>
    <col min="4" max="4" width="23.88671875" bestFit="1" customWidth="1"/>
    <col min="5" max="5" width="20.44140625" bestFit="1" customWidth="1"/>
    <col min="11" max="11" width="20.88671875" customWidth="1"/>
    <col min="12" max="12" width="13.77734375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6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">
      <c r="A2">
        <v>18115365</v>
      </c>
      <c r="B2">
        <v>26207505</v>
      </c>
      <c r="C2" t="s">
        <v>15</v>
      </c>
      <c r="D2" s="7">
        <v>100.2</v>
      </c>
      <c r="E2" s="4">
        <v>37.9</v>
      </c>
      <c r="F2">
        <v>151</v>
      </c>
      <c r="G2">
        <v>77</v>
      </c>
      <c r="H2">
        <v>96</v>
      </c>
      <c r="I2">
        <v>20</v>
      </c>
      <c r="J2">
        <v>96</v>
      </c>
      <c r="K2" t="b">
        <v>0</v>
      </c>
      <c r="L2" t="s">
        <v>16</v>
      </c>
      <c r="M2" t="s">
        <v>16</v>
      </c>
      <c r="N2">
        <v>1</v>
      </c>
      <c r="O2">
        <v>1</v>
      </c>
    </row>
    <row r="3" spans="1:15" x14ac:dyDescent="0.3">
      <c r="A3">
        <v>17349939</v>
      </c>
      <c r="B3">
        <v>25258674</v>
      </c>
      <c r="C3" t="s">
        <v>17</v>
      </c>
      <c r="D3" s="8">
        <v>98.1</v>
      </c>
      <c r="E3" s="5">
        <v>36.700000000000003</v>
      </c>
      <c r="F3">
        <v>114</v>
      </c>
      <c r="G3">
        <v>78</v>
      </c>
      <c r="H3">
        <v>104</v>
      </c>
      <c r="I3">
        <v>18</v>
      </c>
      <c r="J3">
        <v>99</v>
      </c>
      <c r="K3" t="b">
        <v>0</v>
      </c>
      <c r="L3" t="s">
        <v>16</v>
      </c>
      <c r="M3" t="s">
        <v>16</v>
      </c>
      <c r="N3">
        <v>2</v>
      </c>
      <c r="O3">
        <v>1</v>
      </c>
    </row>
    <row r="4" spans="1:15" x14ac:dyDescent="0.3">
      <c r="A4">
        <v>17197332</v>
      </c>
      <c r="B4">
        <v>29551486</v>
      </c>
      <c r="C4" t="s">
        <v>15</v>
      </c>
      <c r="D4" s="7">
        <v>97.4</v>
      </c>
      <c r="E4" s="4">
        <v>36.299999999999997</v>
      </c>
      <c r="F4">
        <v>139</v>
      </c>
      <c r="G4">
        <v>76</v>
      </c>
      <c r="H4">
        <v>80</v>
      </c>
      <c r="I4">
        <v>18</v>
      </c>
      <c r="J4">
        <v>94</v>
      </c>
      <c r="K4" t="b">
        <v>0</v>
      </c>
      <c r="L4" t="s">
        <v>16</v>
      </c>
      <c r="M4" t="s">
        <v>16</v>
      </c>
      <c r="N4">
        <v>1</v>
      </c>
      <c r="O4">
        <v>1</v>
      </c>
    </row>
    <row r="5" spans="1:15" x14ac:dyDescent="0.3">
      <c r="A5">
        <v>14258856</v>
      </c>
      <c r="B5">
        <v>22480125</v>
      </c>
      <c r="C5" t="s">
        <v>17</v>
      </c>
      <c r="D5" s="7">
        <v>98.5</v>
      </c>
      <c r="E5" s="4">
        <v>36.9</v>
      </c>
      <c r="F5">
        <v>88</v>
      </c>
      <c r="G5">
        <v>58</v>
      </c>
      <c r="H5">
        <v>64</v>
      </c>
      <c r="I5">
        <v>18</v>
      </c>
      <c r="J5">
        <v>100</v>
      </c>
      <c r="K5" t="b">
        <v>0</v>
      </c>
      <c r="L5" t="s">
        <v>16</v>
      </c>
      <c r="M5" t="s">
        <v>16</v>
      </c>
      <c r="N5">
        <v>2</v>
      </c>
      <c r="O5">
        <v>4</v>
      </c>
    </row>
    <row r="6" spans="1:15" x14ac:dyDescent="0.3">
      <c r="A6">
        <v>16366148</v>
      </c>
      <c r="B6">
        <v>28906833</v>
      </c>
      <c r="C6" t="s">
        <v>17</v>
      </c>
      <c r="D6" s="8">
        <v>98.7</v>
      </c>
      <c r="E6" s="5">
        <v>37.1</v>
      </c>
      <c r="F6">
        <v>110</v>
      </c>
      <c r="G6">
        <v>57</v>
      </c>
      <c r="H6">
        <v>78</v>
      </c>
      <c r="I6">
        <v>17</v>
      </c>
      <c r="J6">
        <v>98</v>
      </c>
      <c r="K6" t="b">
        <v>0</v>
      </c>
      <c r="L6" t="s">
        <v>16</v>
      </c>
      <c r="M6" t="s">
        <v>16</v>
      </c>
      <c r="N6">
        <v>1</v>
      </c>
      <c r="O6">
        <v>1</v>
      </c>
    </row>
    <row r="7" spans="1:15" x14ac:dyDescent="0.3">
      <c r="A7">
        <v>18615099</v>
      </c>
      <c r="B7">
        <v>26937197</v>
      </c>
      <c r="C7" t="s">
        <v>18</v>
      </c>
      <c r="D7" s="7">
        <v>97.7</v>
      </c>
      <c r="E7" s="4">
        <v>36.5</v>
      </c>
      <c r="F7">
        <v>184</v>
      </c>
      <c r="G7">
        <v>83</v>
      </c>
      <c r="H7">
        <v>78</v>
      </c>
      <c r="I7">
        <v>18</v>
      </c>
      <c r="J7">
        <v>100</v>
      </c>
      <c r="K7" t="b">
        <v>0</v>
      </c>
      <c r="L7" t="s">
        <v>19</v>
      </c>
      <c r="M7" t="s">
        <v>16</v>
      </c>
      <c r="N7">
        <v>1</v>
      </c>
      <c r="O7">
        <v>3</v>
      </c>
    </row>
    <row r="8" spans="1:15" x14ac:dyDescent="0.3">
      <c r="A8">
        <v>16981118</v>
      </c>
      <c r="B8">
        <v>26953749</v>
      </c>
      <c r="C8" t="s">
        <v>15</v>
      </c>
      <c r="D8" s="8">
        <v>98.8</v>
      </c>
      <c r="E8" s="5">
        <v>37.1</v>
      </c>
      <c r="F8">
        <v>110</v>
      </c>
      <c r="G8">
        <v>58</v>
      </c>
      <c r="H8">
        <v>86</v>
      </c>
      <c r="I8">
        <v>16</v>
      </c>
      <c r="J8">
        <v>96</v>
      </c>
      <c r="K8" t="b">
        <v>0</v>
      </c>
      <c r="L8" t="s">
        <v>16</v>
      </c>
      <c r="M8" t="s">
        <v>16</v>
      </c>
      <c r="N8">
        <v>1</v>
      </c>
      <c r="O8">
        <v>1</v>
      </c>
    </row>
    <row r="9" spans="1:15" x14ac:dyDescent="0.3">
      <c r="A9">
        <v>17447861</v>
      </c>
      <c r="B9">
        <v>27208341</v>
      </c>
      <c r="C9" t="s">
        <v>18</v>
      </c>
      <c r="D9" s="7">
        <v>98.3</v>
      </c>
      <c r="E9" s="4">
        <v>36.799999999999997</v>
      </c>
      <c r="F9">
        <v>71</v>
      </c>
      <c r="G9">
        <v>56</v>
      </c>
      <c r="H9">
        <v>117</v>
      </c>
      <c r="I9">
        <v>11</v>
      </c>
      <c r="J9">
        <v>97</v>
      </c>
      <c r="K9" t="b">
        <v>0</v>
      </c>
      <c r="L9" t="s">
        <v>16</v>
      </c>
      <c r="M9" t="s">
        <v>16</v>
      </c>
      <c r="N9">
        <v>3</v>
      </c>
      <c r="O9">
        <v>6</v>
      </c>
    </row>
    <row r="10" spans="1:15" x14ac:dyDescent="0.3">
      <c r="A10">
        <v>18676703</v>
      </c>
      <c r="B10">
        <v>20851421</v>
      </c>
      <c r="C10" t="s">
        <v>18</v>
      </c>
      <c r="D10" s="8"/>
      <c r="E10" s="5"/>
      <c r="L10" t="s">
        <v>16</v>
      </c>
      <c r="M10" t="s">
        <v>16</v>
      </c>
    </row>
    <row r="11" spans="1:15" x14ac:dyDescent="0.3">
      <c r="A11">
        <v>10506015</v>
      </c>
      <c r="B11">
        <v>25316003</v>
      </c>
      <c r="C11" t="s">
        <v>18</v>
      </c>
      <c r="D11" s="7">
        <v>97.6</v>
      </c>
      <c r="E11" s="4">
        <v>36.4</v>
      </c>
      <c r="F11">
        <v>117</v>
      </c>
      <c r="G11">
        <v>73</v>
      </c>
      <c r="H11">
        <v>82</v>
      </c>
      <c r="I11">
        <v>18</v>
      </c>
      <c r="J11">
        <v>100</v>
      </c>
      <c r="K11" t="b">
        <v>0</v>
      </c>
      <c r="L11" t="s">
        <v>16</v>
      </c>
      <c r="M11" t="s">
        <v>16</v>
      </c>
      <c r="N11">
        <v>1</v>
      </c>
      <c r="O11">
        <v>0</v>
      </c>
    </row>
    <row r="12" spans="1:15" x14ac:dyDescent="0.3">
      <c r="A12">
        <v>16390389</v>
      </c>
      <c r="B12">
        <v>25245212</v>
      </c>
      <c r="C12" t="s">
        <v>17</v>
      </c>
      <c r="D12" s="8">
        <v>99.7</v>
      </c>
      <c r="E12" s="5">
        <v>37.6</v>
      </c>
      <c r="F12">
        <v>128</v>
      </c>
      <c r="G12">
        <v>68</v>
      </c>
      <c r="H12">
        <v>66</v>
      </c>
      <c r="I12">
        <v>18</v>
      </c>
      <c r="J12">
        <v>93</v>
      </c>
      <c r="K12" t="b">
        <v>0</v>
      </c>
      <c r="L12" t="s">
        <v>16</v>
      </c>
      <c r="M12" t="s">
        <v>16</v>
      </c>
      <c r="N12">
        <v>1</v>
      </c>
      <c r="O12">
        <v>2</v>
      </c>
    </row>
    <row r="13" spans="1:15" x14ac:dyDescent="0.3">
      <c r="A13">
        <v>17029854</v>
      </c>
      <c r="B13">
        <v>26851257</v>
      </c>
      <c r="C13" t="s">
        <v>15</v>
      </c>
      <c r="D13" s="7">
        <v>98.2</v>
      </c>
      <c r="E13" s="4">
        <v>36.799999999999997</v>
      </c>
      <c r="F13">
        <v>121</v>
      </c>
      <c r="G13">
        <v>91</v>
      </c>
      <c r="H13">
        <v>103</v>
      </c>
      <c r="I13">
        <v>27</v>
      </c>
      <c r="J13">
        <v>97</v>
      </c>
      <c r="K13" t="b">
        <v>0</v>
      </c>
      <c r="L13" t="s">
        <v>19</v>
      </c>
      <c r="M13" t="s">
        <v>16</v>
      </c>
      <c r="N13">
        <v>6</v>
      </c>
      <c r="O13">
        <v>7</v>
      </c>
    </row>
    <row r="14" spans="1:15" x14ac:dyDescent="0.3">
      <c r="A14">
        <v>16463068</v>
      </c>
      <c r="B14">
        <v>23432821</v>
      </c>
      <c r="C14" t="s">
        <v>17</v>
      </c>
      <c r="D14" s="8">
        <v>98.5</v>
      </c>
      <c r="E14" s="5">
        <v>36.9</v>
      </c>
      <c r="F14">
        <v>121</v>
      </c>
      <c r="G14">
        <v>80</v>
      </c>
      <c r="H14">
        <v>86</v>
      </c>
      <c r="I14">
        <v>18</v>
      </c>
      <c r="J14">
        <v>98</v>
      </c>
      <c r="K14" t="b">
        <v>1</v>
      </c>
      <c r="L14" t="s">
        <v>16</v>
      </c>
      <c r="M14" t="s">
        <v>16</v>
      </c>
      <c r="N14">
        <v>1</v>
      </c>
      <c r="O14">
        <v>2</v>
      </c>
    </row>
    <row r="15" spans="1:15" x14ac:dyDescent="0.3">
      <c r="A15">
        <v>15608579</v>
      </c>
      <c r="B15">
        <v>20320850</v>
      </c>
      <c r="C15" t="s">
        <v>15</v>
      </c>
      <c r="D15" s="7">
        <v>98.2</v>
      </c>
      <c r="E15" s="4">
        <v>36.799999999999997</v>
      </c>
      <c r="F15">
        <v>148</v>
      </c>
      <c r="G15">
        <v>80</v>
      </c>
      <c r="H15">
        <v>85</v>
      </c>
      <c r="I15">
        <v>18</v>
      </c>
      <c r="J15">
        <v>100</v>
      </c>
      <c r="K15" t="b">
        <v>0</v>
      </c>
      <c r="L15" t="s">
        <v>16</v>
      </c>
      <c r="M15" t="s">
        <v>16</v>
      </c>
      <c r="N15">
        <v>1</v>
      </c>
      <c r="O15">
        <v>0</v>
      </c>
    </row>
    <row r="16" spans="1:15" x14ac:dyDescent="0.3">
      <c r="A16">
        <v>15465739</v>
      </c>
      <c r="B16">
        <v>28798031</v>
      </c>
      <c r="C16" t="s">
        <v>18</v>
      </c>
      <c r="D16" s="8">
        <v>99.8</v>
      </c>
      <c r="E16" s="5">
        <v>37.700000000000003</v>
      </c>
      <c r="F16">
        <v>168</v>
      </c>
      <c r="G16">
        <v>73</v>
      </c>
      <c r="H16">
        <v>69</v>
      </c>
      <c r="I16">
        <v>18</v>
      </c>
      <c r="J16">
        <v>98</v>
      </c>
      <c r="K16" t="b">
        <v>0</v>
      </c>
      <c r="L16" t="s">
        <v>19</v>
      </c>
      <c r="M16" t="s">
        <v>16</v>
      </c>
      <c r="N16">
        <v>4</v>
      </c>
      <c r="O16">
        <v>3</v>
      </c>
    </row>
    <row r="17" spans="1:15" x14ac:dyDescent="0.3">
      <c r="A17">
        <v>19836972</v>
      </c>
      <c r="B17">
        <v>25283018</v>
      </c>
      <c r="C17" t="s">
        <v>15</v>
      </c>
      <c r="D17" s="7">
        <v>98.6</v>
      </c>
      <c r="E17" s="4">
        <v>37</v>
      </c>
      <c r="F17">
        <v>149</v>
      </c>
      <c r="G17">
        <v>94</v>
      </c>
      <c r="H17">
        <v>73</v>
      </c>
      <c r="I17">
        <v>14</v>
      </c>
      <c r="J17">
        <v>96</v>
      </c>
      <c r="K17" t="b">
        <v>0</v>
      </c>
      <c r="L17" t="s">
        <v>16</v>
      </c>
      <c r="M17" t="s">
        <v>16</v>
      </c>
      <c r="N17">
        <v>0</v>
      </c>
      <c r="O17">
        <v>0</v>
      </c>
    </row>
    <row r="18" spans="1:15" x14ac:dyDescent="0.3">
      <c r="A18">
        <v>15579720</v>
      </c>
      <c r="B18">
        <v>29717153</v>
      </c>
      <c r="C18" t="s">
        <v>15</v>
      </c>
      <c r="D18" s="8">
        <v>98.6</v>
      </c>
      <c r="E18" s="5">
        <v>37</v>
      </c>
      <c r="F18">
        <v>126</v>
      </c>
      <c r="G18">
        <v>88</v>
      </c>
      <c r="H18">
        <v>81</v>
      </c>
      <c r="I18">
        <v>18</v>
      </c>
      <c r="J18">
        <v>98</v>
      </c>
      <c r="K18" t="b">
        <v>0</v>
      </c>
      <c r="L18" t="s">
        <v>16</v>
      </c>
      <c r="M18" t="s">
        <v>16</v>
      </c>
      <c r="N18">
        <v>1</v>
      </c>
      <c r="O18">
        <v>0</v>
      </c>
    </row>
    <row r="19" spans="1:15" x14ac:dyDescent="0.3">
      <c r="A19">
        <v>16510038</v>
      </c>
      <c r="B19">
        <v>25686639</v>
      </c>
      <c r="C19" t="s">
        <v>18</v>
      </c>
      <c r="D19" s="7">
        <v>98.4</v>
      </c>
      <c r="E19" s="4">
        <v>36.9</v>
      </c>
      <c r="F19">
        <v>167</v>
      </c>
      <c r="G19">
        <v>78</v>
      </c>
      <c r="H19">
        <v>58</v>
      </c>
      <c r="I19">
        <v>16</v>
      </c>
      <c r="J19">
        <v>97</v>
      </c>
      <c r="K19" t="b">
        <v>0</v>
      </c>
      <c r="L19" t="s">
        <v>16</v>
      </c>
      <c r="M19" t="s">
        <v>16</v>
      </c>
      <c r="N19">
        <v>1</v>
      </c>
      <c r="O19">
        <v>0</v>
      </c>
    </row>
    <row r="20" spans="1:15" x14ac:dyDescent="0.3">
      <c r="A20">
        <v>11269805</v>
      </c>
      <c r="B20">
        <v>28220800</v>
      </c>
      <c r="C20" t="s">
        <v>17</v>
      </c>
      <c r="D20" s="8">
        <v>98.6</v>
      </c>
      <c r="E20" s="5">
        <v>37</v>
      </c>
      <c r="F20">
        <v>118</v>
      </c>
      <c r="G20">
        <v>71</v>
      </c>
      <c r="H20">
        <v>100</v>
      </c>
      <c r="I20">
        <v>18</v>
      </c>
      <c r="J20">
        <v>99</v>
      </c>
      <c r="K20" t="b">
        <v>0</v>
      </c>
      <c r="L20" t="s">
        <v>16</v>
      </c>
      <c r="M20" t="s">
        <v>16</v>
      </c>
      <c r="N20">
        <v>1</v>
      </c>
      <c r="O20">
        <v>1</v>
      </c>
    </row>
    <row r="21" spans="1:15" x14ac:dyDescent="0.3">
      <c r="A21">
        <v>12962644</v>
      </c>
      <c r="B21">
        <v>29222575</v>
      </c>
      <c r="C21" t="s">
        <v>17</v>
      </c>
      <c r="D21" s="7">
        <v>98.1</v>
      </c>
      <c r="E21" s="4">
        <v>36.700000000000003</v>
      </c>
      <c r="F21">
        <v>91</v>
      </c>
      <c r="G21">
        <v>57</v>
      </c>
      <c r="H21">
        <v>143</v>
      </c>
      <c r="I21">
        <v>20</v>
      </c>
      <c r="J21">
        <v>99</v>
      </c>
      <c r="K21" t="b">
        <v>1</v>
      </c>
      <c r="L21" t="s">
        <v>20</v>
      </c>
      <c r="M21" t="s">
        <v>20</v>
      </c>
      <c r="N21">
        <v>8</v>
      </c>
      <c r="O21">
        <v>10</v>
      </c>
    </row>
    <row r="22" spans="1:15" x14ac:dyDescent="0.3">
      <c r="A22">
        <v>12375955</v>
      </c>
      <c r="B22">
        <v>24655856</v>
      </c>
      <c r="C22" t="s">
        <v>15</v>
      </c>
      <c r="D22" s="8">
        <v>98.1</v>
      </c>
      <c r="E22" s="5">
        <v>36.700000000000003</v>
      </c>
      <c r="F22">
        <v>175</v>
      </c>
      <c r="G22">
        <v>83</v>
      </c>
      <c r="H22">
        <v>80</v>
      </c>
      <c r="J22">
        <v>100</v>
      </c>
      <c r="K22" t="b">
        <v>0</v>
      </c>
      <c r="L22" t="s">
        <v>16</v>
      </c>
      <c r="M22" t="s">
        <v>16</v>
      </c>
    </row>
    <row r="23" spans="1:15" x14ac:dyDescent="0.3">
      <c r="A23">
        <v>14553360</v>
      </c>
      <c r="B23">
        <v>23839328</v>
      </c>
      <c r="C23" t="s">
        <v>18</v>
      </c>
      <c r="D23" s="7"/>
      <c r="E23" s="4"/>
      <c r="K23" t="b">
        <v>0</v>
      </c>
      <c r="L23" t="s">
        <v>16</v>
      </c>
      <c r="M23" t="s">
        <v>16</v>
      </c>
    </row>
    <row r="24" spans="1:15" x14ac:dyDescent="0.3">
      <c r="A24">
        <v>19829170</v>
      </c>
      <c r="B24">
        <v>27816058</v>
      </c>
      <c r="C24" t="s">
        <v>17</v>
      </c>
      <c r="D24" s="8">
        <v>97.6</v>
      </c>
      <c r="E24" s="5">
        <v>36.4</v>
      </c>
      <c r="F24">
        <v>158</v>
      </c>
      <c r="G24">
        <v>72</v>
      </c>
      <c r="H24">
        <v>86</v>
      </c>
      <c r="I24">
        <v>16</v>
      </c>
      <c r="J24">
        <v>96</v>
      </c>
      <c r="K24" t="b">
        <v>0</v>
      </c>
      <c r="L24" t="s">
        <v>16</v>
      </c>
      <c r="M24" t="s">
        <v>16</v>
      </c>
      <c r="N24">
        <v>1</v>
      </c>
      <c r="O24">
        <v>0</v>
      </c>
    </row>
    <row r="25" spans="1:15" x14ac:dyDescent="0.3">
      <c r="A25">
        <v>12821949</v>
      </c>
      <c r="B25">
        <v>25447276</v>
      </c>
      <c r="C25" t="s">
        <v>15</v>
      </c>
      <c r="D25" s="7">
        <v>97.7</v>
      </c>
      <c r="E25" s="4">
        <v>36.5</v>
      </c>
      <c r="F25">
        <v>141</v>
      </c>
      <c r="G25">
        <v>88</v>
      </c>
      <c r="H25">
        <v>86</v>
      </c>
      <c r="I25">
        <v>16</v>
      </c>
      <c r="J25">
        <v>97</v>
      </c>
      <c r="K25" t="b">
        <v>0</v>
      </c>
      <c r="L25" t="s">
        <v>16</v>
      </c>
      <c r="M25" t="s">
        <v>16</v>
      </c>
      <c r="N25">
        <v>1</v>
      </c>
      <c r="O25">
        <v>0</v>
      </c>
    </row>
    <row r="26" spans="1:15" x14ac:dyDescent="0.3">
      <c r="A26">
        <v>10718572</v>
      </c>
      <c r="B26">
        <v>26973892</v>
      </c>
      <c r="C26" t="s">
        <v>18</v>
      </c>
      <c r="D26" s="8">
        <v>97.7</v>
      </c>
      <c r="E26" s="5">
        <v>36.5</v>
      </c>
      <c r="F26">
        <v>130</v>
      </c>
      <c r="G26">
        <v>71</v>
      </c>
      <c r="H26">
        <v>76</v>
      </c>
      <c r="I26">
        <v>25</v>
      </c>
      <c r="J26">
        <v>91</v>
      </c>
      <c r="K26" t="b">
        <v>1</v>
      </c>
      <c r="L26" t="s">
        <v>16</v>
      </c>
      <c r="M26" t="s">
        <v>16</v>
      </c>
      <c r="N26">
        <v>2</v>
      </c>
      <c r="O26">
        <v>8</v>
      </c>
    </row>
    <row r="27" spans="1:15" x14ac:dyDescent="0.3">
      <c r="A27">
        <v>18016034</v>
      </c>
      <c r="B27">
        <v>26899013</v>
      </c>
      <c r="C27" t="s">
        <v>17</v>
      </c>
      <c r="D27" s="7">
        <v>97.9</v>
      </c>
      <c r="E27" s="4">
        <v>36.6</v>
      </c>
      <c r="F27">
        <v>124</v>
      </c>
      <c r="G27">
        <v>47</v>
      </c>
      <c r="H27">
        <v>87</v>
      </c>
      <c r="I27">
        <v>18</v>
      </c>
      <c r="J27">
        <v>96</v>
      </c>
      <c r="K27" t="b">
        <v>0</v>
      </c>
      <c r="L27" t="s">
        <v>16</v>
      </c>
      <c r="M27" t="s">
        <v>16</v>
      </c>
      <c r="N27">
        <v>1</v>
      </c>
      <c r="O27">
        <v>0</v>
      </c>
    </row>
    <row r="28" spans="1:15" x14ac:dyDescent="0.3">
      <c r="A28">
        <v>16670114</v>
      </c>
      <c r="B28">
        <v>22167354</v>
      </c>
      <c r="C28" t="s">
        <v>15</v>
      </c>
      <c r="D28" s="8"/>
      <c r="E28" s="5"/>
      <c r="L28" t="s">
        <v>16</v>
      </c>
      <c r="M28" t="s">
        <v>16</v>
      </c>
    </row>
    <row r="29" spans="1:15" x14ac:dyDescent="0.3">
      <c r="A29">
        <v>15257559</v>
      </c>
      <c r="B29">
        <v>29077117</v>
      </c>
      <c r="C29" t="s">
        <v>18</v>
      </c>
      <c r="D29" s="7">
        <v>97.7</v>
      </c>
      <c r="E29" s="4">
        <v>36.5</v>
      </c>
      <c r="F29">
        <v>101</v>
      </c>
      <c r="G29">
        <v>64</v>
      </c>
      <c r="H29">
        <v>60</v>
      </c>
      <c r="I29">
        <v>20</v>
      </c>
      <c r="J29">
        <v>98</v>
      </c>
      <c r="K29" t="b">
        <v>0</v>
      </c>
      <c r="L29" t="s">
        <v>16</v>
      </c>
      <c r="M29" t="s">
        <v>16</v>
      </c>
      <c r="N29">
        <v>1</v>
      </c>
      <c r="O29">
        <v>1</v>
      </c>
    </row>
    <row r="30" spans="1:15" x14ac:dyDescent="0.3">
      <c r="A30">
        <v>17937664</v>
      </c>
      <c r="B30">
        <v>21183894</v>
      </c>
      <c r="C30" t="s">
        <v>15</v>
      </c>
      <c r="D30" s="8">
        <v>98.7</v>
      </c>
      <c r="E30" s="5">
        <v>37.1</v>
      </c>
      <c r="F30">
        <v>119</v>
      </c>
      <c r="G30">
        <v>64</v>
      </c>
      <c r="H30">
        <v>93</v>
      </c>
      <c r="I30">
        <v>18</v>
      </c>
      <c r="J30">
        <v>92</v>
      </c>
      <c r="K30" t="b">
        <v>1</v>
      </c>
      <c r="L30" t="s">
        <v>16</v>
      </c>
      <c r="M30" t="s">
        <v>16</v>
      </c>
      <c r="N30">
        <v>1</v>
      </c>
      <c r="O30">
        <v>5</v>
      </c>
    </row>
    <row r="31" spans="1:15" x14ac:dyDescent="0.3">
      <c r="A31">
        <v>10880579</v>
      </c>
      <c r="B31">
        <v>28005020</v>
      </c>
      <c r="C31" t="s">
        <v>18</v>
      </c>
      <c r="D31" s="7">
        <v>98.3</v>
      </c>
      <c r="E31" s="4">
        <v>36.799999999999997</v>
      </c>
      <c r="F31">
        <v>110</v>
      </c>
      <c r="G31">
        <v>66</v>
      </c>
      <c r="H31">
        <v>80</v>
      </c>
      <c r="I31">
        <v>18</v>
      </c>
      <c r="J31">
        <v>98</v>
      </c>
      <c r="K31" t="b">
        <v>0</v>
      </c>
      <c r="L31" t="s">
        <v>16</v>
      </c>
      <c r="M31" t="s">
        <v>16</v>
      </c>
      <c r="N31">
        <v>1</v>
      </c>
      <c r="O31">
        <v>1</v>
      </c>
    </row>
    <row r="32" spans="1:15" x14ac:dyDescent="0.3">
      <c r="A32">
        <v>15923896</v>
      </c>
      <c r="B32">
        <v>23984185</v>
      </c>
      <c r="C32" t="s">
        <v>17</v>
      </c>
      <c r="D32" s="8">
        <v>97.2</v>
      </c>
      <c r="E32" s="5">
        <v>36.200000000000003</v>
      </c>
      <c r="F32">
        <v>112</v>
      </c>
      <c r="G32">
        <v>72</v>
      </c>
      <c r="H32">
        <v>65</v>
      </c>
      <c r="I32">
        <v>16</v>
      </c>
      <c r="J32">
        <v>100</v>
      </c>
      <c r="K32" t="b">
        <v>0</v>
      </c>
      <c r="L32" t="s">
        <v>16</v>
      </c>
      <c r="M32" t="s">
        <v>16</v>
      </c>
      <c r="N32">
        <v>1</v>
      </c>
      <c r="O32">
        <v>0</v>
      </c>
    </row>
    <row r="33" spans="1:15" x14ac:dyDescent="0.3">
      <c r="A33">
        <v>19653772</v>
      </c>
      <c r="B33">
        <v>27235697</v>
      </c>
      <c r="C33" t="s">
        <v>15</v>
      </c>
      <c r="D33" s="7">
        <v>97.5</v>
      </c>
      <c r="E33" s="4">
        <v>36.4</v>
      </c>
      <c r="F33">
        <v>131</v>
      </c>
      <c r="G33">
        <v>81</v>
      </c>
      <c r="H33">
        <v>97</v>
      </c>
      <c r="I33">
        <v>16</v>
      </c>
      <c r="J33">
        <v>99</v>
      </c>
      <c r="K33" t="b">
        <v>0</v>
      </c>
      <c r="L33" t="s">
        <v>16</v>
      </c>
      <c r="M33" t="s">
        <v>16</v>
      </c>
      <c r="N33">
        <v>1</v>
      </c>
      <c r="O33">
        <v>1</v>
      </c>
    </row>
    <row r="34" spans="1:15" x14ac:dyDescent="0.3">
      <c r="A34">
        <v>14144857</v>
      </c>
      <c r="B34">
        <v>25033403</v>
      </c>
      <c r="C34" t="s">
        <v>18</v>
      </c>
      <c r="D34" s="8">
        <v>98</v>
      </c>
      <c r="E34" s="5">
        <v>36.700000000000003</v>
      </c>
      <c r="F34">
        <v>152</v>
      </c>
      <c r="G34">
        <v>82</v>
      </c>
      <c r="H34">
        <v>94</v>
      </c>
      <c r="I34">
        <v>18</v>
      </c>
      <c r="J34">
        <v>96</v>
      </c>
      <c r="K34" t="b">
        <v>1</v>
      </c>
      <c r="L34" t="s">
        <v>16</v>
      </c>
      <c r="M34" t="s">
        <v>16</v>
      </c>
      <c r="N34">
        <v>1</v>
      </c>
      <c r="O34">
        <v>3</v>
      </c>
    </row>
    <row r="35" spans="1:15" x14ac:dyDescent="0.3">
      <c r="A35">
        <v>11793089</v>
      </c>
      <c r="B35">
        <v>24662454</v>
      </c>
      <c r="C35" t="s">
        <v>18</v>
      </c>
      <c r="D35" s="8"/>
      <c r="E35" s="5"/>
      <c r="K35" t="b">
        <v>0</v>
      </c>
      <c r="L35" t="s">
        <v>16</v>
      </c>
      <c r="M35" t="s">
        <v>16</v>
      </c>
    </row>
    <row r="36" spans="1:15" x14ac:dyDescent="0.3">
      <c r="A36">
        <v>15394326</v>
      </c>
      <c r="B36">
        <v>29235370</v>
      </c>
      <c r="C36" t="s">
        <v>15</v>
      </c>
      <c r="D36" s="7">
        <v>97.9</v>
      </c>
      <c r="E36" s="4">
        <v>36.6</v>
      </c>
      <c r="F36">
        <v>147</v>
      </c>
      <c r="G36">
        <v>91</v>
      </c>
      <c r="H36">
        <v>98</v>
      </c>
      <c r="I36">
        <v>18</v>
      </c>
      <c r="J36">
        <v>98</v>
      </c>
      <c r="K36" t="b">
        <v>1</v>
      </c>
      <c r="L36" t="s">
        <v>16</v>
      </c>
      <c r="M36" t="s">
        <v>16</v>
      </c>
      <c r="N36">
        <v>1</v>
      </c>
      <c r="O36">
        <v>3</v>
      </c>
    </row>
    <row r="37" spans="1:15" x14ac:dyDescent="0.3">
      <c r="A37">
        <v>16548967</v>
      </c>
      <c r="B37">
        <v>25641035</v>
      </c>
      <c r="C37" t="s">
        <v>15</v>
      </c>
      <c r="D37" s="8">
        <v>96.6</v>
      </c>
      <c r="E37" s="5">
        <v>35.9</v>
      </c>
      <c r="F37">
        <v>126</v>
      </c>
      <c r="G37">
        <v>66</v>
      </c>
      <c r="H37">
        <v>84</v>
      </c>
      <c r="I37">
        <v>18</v>
      </c>
      <c r="J37">
        <v>98</v>
      </c>
      <c r="K37" t="b">
        <v>0</v>
      </c>
      <c r="L37" t="s">
        <v>19</v>
      </c>
      <c r="M37" t="s">
        <v>16</v>
      </c>
      <c r="N37">
        <v>4</v>
      </c>
      <c r="O37">
        <v>4</v>
      </c>
    </row>
    <row r="38" spans="1:15" x14ac:dyDescent="0.3">
      <c r="A38">
        <v>19494598</v>
      </c>
      <c r="B38">
        <v>21234550</v>
      </c>
      <c r="C38" t="s">
        <v>17</v>
      </c>
      <c r="D38" s="7">
        <v>97.8</v>
      </c>
      <c r="E38" s="4">
        <v>36.6</v>
      </c>
      <c r="F38">
        <v>148</v>
      </c>
      <c r="G38">
        <v>78</v>
      </c>
      <c r="H38">
        <v>86</v>
      </c>
      <c r="I38">
        <v>18</v>
      </c>
      <c r="J38">
        <v>97</v>
      </c>
      <c r="K38" t="b">
        <v>0</v>
      </c>
      <c r="L38" t="s">
        <v>16</v>
      </c>
      <c r="M38" t="s">
        <v>16</v>
      </c>
      <c r="N38">
        <v>1</v>
      </c>
      <c r="O38">
        <v>0</v>
      </c>
    </row>
    <row r="39" spans="1:15" x14ac:dyDescent="0.3">
      <c r="A39">
        <v>16544722</v>
      </c>
      <c r="B39">
        <v>21288439</v>
      </c>
      <c r="C39" t="s">
        <v>17</v>
      </c>
      <c r="D39" s="7">
        <v>98.5</v>
      </c>
      <c r="E39" s="4">
        <v>36.9</v>
      </c>
      <c r="F39">
        <v>156</v>
      </c>
      <c r="G39">
        <v>83</v>
      </c>
      <c r="H39">
        <v>104</v>
      </c>
      <c r="I39">
        <v>20</v>
      </c>
      <c r="J39">
        <v>96</v>
      </c>
      <c r="K39" t="b">
        <v>1</v>
      </c>
      <c r="L39" t="s">
        <v>16</v>
      </c>
      <c r="M39" t="s">
        <v>16</v>
      </c>
      <c r="N39">
        <v>2</v>
      </c>
      <c r="O39">
        <v>3</v>
      </c>
    </row>
    <row r="40" spans="1:15" x14ac:dyDescent="0.3">
      <c r="A40">
        <v>15224401</v>
      </c>
      <c r="B40">
        <v>22189034</v>
      </c>
      <c r="C40" t="s">
        <v>17</v>
      </c>
      <c r="D40" s="8">
        <v>97.4</v>
      </c>
      <c r="E40" s="5">
        <v>36.299999999999997</v>
      </c>
      <c r="F40">
        <v>175</v>
      </c>
      <c r="G40">
        <v>73</v>
      </c>
      <c r="H40">
        <v>58</v>
      </c>
      <c r="I40">
        <v>17</v>
      </c>
      <c r="J40">
        <v>100</v>
      </c>
      <c r="K40" t="b">
        <v>0</v>
      </c>
      <c r="L40" t="s">
        <v>19</v>
      </c>
      <c r="M40" t="s">
        <v>16</v>
      </c>
      <c r="N40">
        <v>4</v>
      </c>
      <c r="O40">
        <v>3</v>
      </c>
    </row>
    <row r="41" spans="1:15" x14ac:dyDescent="0.3">
      <c r="A41">
        <v>14014677</v>
      </c>
      <c r="B41">
        <v>26813590</v>
      </c>
      <c r="C41" t="s">
        <v>18</v>
      </c>
      <c r="D41" s="7">
        <v>98.8</v>
      </c>
      <c r="E41" s="4">
        <v>37.1</v>
      </c>
      <c r="F41">
        <v>134</v>
      </c>
      <c r="G41">
        <v>58</v>
      </c>
      <c r="H41">
        <v>80</v>
      </c>
      <c r="I41">
        <v>16</v>
      </c>
      <c r="J41">
        <v>94</v>
      </c>
      <c r="K41" t="b">
        <v>0</v>
      </c>
      <c r="L41" t="s">
        <v>16</v>
      </c>
      <c r="M41" t="s">
        <v>16</v>
      </c>
      <c r="N41">
        <v>1</v>
      </c>
      <c r="O41">
        <v>1</v>
      </c>
    </row>
    <row r="42" spans="1:15" x14ac:dyDescent="0.3">
      <c r="A42">
        <v>14895938</v>
      </c>
      <c r="B42">
        <v>20028125</v>
      </c>
      <c r="C42" t="s">
        <v>15</v>
      </c>
      <c r="D42" s="8">
        <v>98.2</v>
      </c>
      <c r="E42" s="5">
        <v>36.799999999999997</v>
      </c>
      <c r="F42">
        <v>146</v>
      </c>
      <c r="G42">
        <v>90</v>
      </c>
      <c r="H42">
        <v>90</v>
      </c>
      <c r="I42">
        <v>18</v>
      </c>
      <c r="J42">
        <v>99</v>
      </c>
      <c r="K42" t="b">
        <v>0</v>
      </c>
      <c r="L42" t="s">
        <v>16</v>
      </c>
      <c r="M42" t="s">
        <v>16</v>
      </c>
      <c r="N42">
        <v>1</v>
      </c>
      <c r="O42">
        <v>0</v>
      </c>
    </row>
    <row r="43" spans="1:15" x14ac:dyDescent="0.3">
      <c r="A43">
        <v>12148311</v>
      </c>
      <c r="B43">
        <v>25121729</v>
      </c>
      <c r="C43" t="s">
        <v>18</v>
      </c>
      <c r="D43" s="7">
        <v>98.1</v>
      </c>
      <c r="E43" s="4">
        <v>36.700000000000003</v>
      </c>
      <c r="F43">
        <v>90</v>
      </c>
      <c r="G43">
        <v>52</v>
      </c>
      <c r="H43">
        <v>55</v>
      </c>
      <c r="I43">
        <v>16</v>
      </c>
      <c r="J43">
        <v>98</v>
      </c>
      <c r="K43" t="b">
        <v>0</v>
      </c>
      <c r="L43" t="s">
        <v>16</v>
      </c>
      <c r="M43" t="s">
        <v>16</v>
      </c>
      <c r="N43">
        <v>2</v>
      </c>
      <c r="O43">
        <v>3</v>
      </c>
    </row>
    <row r="44" spans="1:15" x14ac:dyDescent="0.3">
      <c r="A44">
        <v>10633199</v>
      </c>
      <c r="B44">
        <v>26255933</v>
      </c>
      <c r="C44" t="s">
        <v>15</v>
      </c>
      <c r="D44" s="7">
        <v>98.6</v>
      </c>
      <c r="E44" s="4">
        <v>37</v>
      </c>
      <c r="F44">
        <v>108</v>
      </c>
      <c r="G44">
        <v>62</v>
      </c>
      <c r="H44">
        <v>102</v>
      </c>
      <c r="I44">
        <v>18</v>
      </c>
      <c r="J44">
        <v>100</v>
      </c>
      <c r="K44" t="b">
        <v>1</v>
      </c>
      <c r="L44" t="s">
        <v>21</v>
      </c>
      <c r="M44" t="s">
        <v>21</v>
      </c>
      <c r="N44">
        <v>4</v>
      </c>
      <c r="O44">
        <v>7</v>
      </c>
    </row>
    <row r="45" spans="1:15" x14ac:dyDescent="0.3">
      <c r="A45">
        <v>17894956</v>
      </c>
      <c r="B45">
        <v>23254022</v>
      </c>
      <c r="C45" t="s">
        <v>18</v>
      </c>
      <c r="D45" s="8">
        <v>33.5</v>
      </c>
      <c r="E45" s="5">
        <v>33.5</v>
      </c>
      <c r="F45">
        <v>115</v>
      </c>
      <c r="G45">
        <v>71</v>
      </c>
      <c r="H45">
        <v>60</v>
      </c>
      <c r="I45">
        <v>18</v>
      </c>
      <c r="J45">
        <v>100</v>
      </c>
      <c r="K45" t="b">
        <v>1</v>
      </c>
      <c r="L45" t="s">
        <v>20</v>
      </c>
      <c r="M45" t="s">
        <v>20</v>
      </c>
      <c r="N45">
        <v>6</v>
      </c>
      <c r="O45">
        <v>8</v>
      </c>
    </row>
    <row r="46" spans="1:15" x14ac:dyDescent="0.3">
      <c r="A46">
        <v>11230488</v>
      </c>
      <c r="B46">
        <v>20585940</v>
      </c>
      <c r="C46" t="s">
        <v>15</v>
      </c>
      <c r="D46" s="7">
        <v>97</v>
      </c>
      <c r="E46" s="4">
        <v>36.1</v>
      </c>
      <c r="F46">
        <v>137</v>
      </c>
      <c r="G46">
        <v>87</v>
      </c>
      <c r="H46">
        <v>77</v>
      </c>
      <c r="I46">
        <v>16</v>
      </c>
      <c r="J46">
        <v>99</v>
      </c>
      <c r="K46" t="b">
        <v>0</v>
      </c>
      <c r="L46" t="s">
        <v>16</v>
      </c>
      <c r="M46" t="s">
        <v>16</v>
      </c>
      <c r="N46">
        <v>1</v>
      </c>
      <c r="O46">
        <v>0</v>
      </c>
    </row>
    <row r="47" spans="1:15" x14ac:dyDescent="0.3">
      <c r="A47">
        <v>19334764</v>
      </c>
      <c r="B47">
        <v>27441274</v>
      </c>
      <c r="C47" t="s">
        <v>18</v>
      </c>
      <c r="D47" s="8">
        <v>97</v>
      </c>
      <c r="E47" s="5">
        <v>36.1</v>
      </c>
      <c r="I47">
        <v>20</v>
      </c>
      <c r="J47">
        <v>96</v>
      </c>
      <c r="K47" t="b">
        <v>0</v>
      </c>
      <c r="L47" t="s">
        <v>16</v>
      </c>
      <c r="M47" t="s">
        <v>16</v>
      </c>
    </row>
    <row r="48" spans="1:15" x14ac:dyDescent="0.3">
      <c r="A48">
        <v>16453787</v>
      </c>
      <c r="B48">
        <v>21156407</v>
      </c>
      <c r="C48" t="s">
        <v>18</v>
      </c>
      <c r="D48" s="7">
        <v>98</v>
      </c>
      <c r="E48" s="4">
        <v>36.700000000000003</v>
      </c>
      <c r="F48">
        <v>154</v>
      </c>
      <c r="G48">
        <v>76</v>
      </c>
      <c r="H48">
        <v>120</v>
      </c>
      <c r="I48">
        <v>24</v>
      </c>
      <c r="J48">
        <v>100</v>
      </c>
      <c r="K48" t="b">
        <v>1</v>
      </c>
      <c r="L48" t="s">
        <v>16</v>
      </c>
      <c r="M48" t="s">
        <v>16</v>
      </c>
      <c r="N48">
        <v>4</v>
      </c>
      <c r="O48">
        <v>6</v>
      </c>
    </row>
    <row r="49" spans="1:15" x14ac:dyDescent="0.3">
      <c r="A49">
        <v>19664531</v>
      </c>
      <c r="B49">
        <v>27556997</v>
      </c>
      <c r="C49" t="s">
        <v>18</v>
      </c>
      <c r="D49" s="8"/>
      <c r="E49" s="5"/>
      <c r="L49" t="s">
        <v>16</v>
      </c>
      <c r="M49" t="s">
        <v>16</v>
      </c>
    </row>
    <row r="50" spans="1:15" x14ac:dyDescent="0.3">
      <c r="A50">
        <v>15767642</v>
      </c>
      <c r="B50">
        <v>26994406</v>
      </c>
      <c r="C50" t="s">
        <v>18</v>
      </c>
      <c r="D50" s="7">
        <v>98.1</v>
      </c>
      <c r="E50" s="4">
        <v>36.700000000000003</v>
      </c>
      <c r="F50">
        <v>107</v>
      </c>
      <c r="G50">
        <v>75</v>
      </c>
      <c r="H50">
        <v>87</v>
      </c>
      <c r="I50">
        <v>18</v>
      </c>
      <c r="J50">
        <v>97</v>
      </c>
      <c r="K50" t="b">
        <v>0</v>
      </c>
      <c r="L50" t="s">
        <v>16</v>
      </c>
      <c r="M50" t="s">
        <v>16</v>
      </c>
      <c r="N50">
        <v>1</v>
      </c>
      <c r="O50">
        <v>1</v>
      </c>
    </row>
    <row r="51" spans="1:15" x14ac:dyDescent="0.3">
      <c r="A51">
        <v>15476899</v>
      </c>
      <c r="B51">
        <v>29653022</v>
      </c>
      <c r="C51" t="s">
        <v>17</v>
      </c>
      <c r="D51" s="8"/>
      <c r="E51" s="5"/>
      <c r="K51" t="b">
        <v>0</v>
      </c>
      <c r="L51" t="s">
        <v>16</v>
      </c>
      <c r="M51" t="s">
        <v>16</v>
      </c>
    </row>
    <row r="52" spans="1:15" x14ac:dyDescent="0.3">
      <c r="A52">
        <v>10534761</v>
      </c>
      <c r="B52">
        <v>25267618</v>
      </c>
      <c r="C52" t="s">
        <v>15</v>
      </c>
      <c r="D52" s="8">
        <v>98.5</v>
      </c>
      <c r="E52" s="5">
        <v>36.9</v>
      </c>
      <c r="F52">
        <v>130</v>
      </c>
      <c r="G52">
        <v>84</v>
      </c>
      <c r="H52">
        <v>85</v>
      </c>
      <c r="I52">
        <v>16</v>
      </c>
      <c r="J52">
        <v>97</v>
      </c>
      <c r="K52" t="b">
        <v>0</v>
      </c>
      <c r="L52" t="s">
        <v>16</v>
      </c>
      <c r="M52" t="s">
        <v>16</v>
      </c>
      <c r="N52">
        <v>1</v>
      </c>
      <c r="O52">
        <v>0</v>
      </c>
    </row>
    <row r="53" spans="1:15" x14ac:dyDescent="0.3">
      <c r="A53">
        <v>10339845</v>
      </c>
      <c r="B53">
        <v>25511006</v>
      </c>
      <c r="C53" t="s">
        <v>18</v>
      </c>
      <c r="D53" s="7">
        <v>97.7</v>
      </c>
      <c r="E53" s="4">
        <v>36.5</v>
      </c>
      <c r="F53">
        <v>118</v>
      </c>
      <c r="G53">
        <v>77</v>
      </c>
      <c r="H53">
        <v>60</v>
      </c>
      <c r="I53">
        <v>18</v>
      </c>
      <c r="J53">
        <v>98</v>
      </c>
      <c r="K53" t="b">
        <v>0</v>
      </c>
      <c r="L53" t="s">
        <v>16</v>
      </c>
      <c r="M53" t="s">
        <v>16</v>
      </c>
      <c r="N53">
        <v>1</v>
      </c>
      <c r="O53">
        <v>0</v>
      </c>
    </row>
    <row r="54" spans="1:15" x14ac:dyDescent="0.3">
      <c r="A54">
        <v>12745171</v>
      </c>
      <c r="B54">
        <v>28708076</v>
      </c>
      <c r="C54" t="s">
        <v>15</v>
      </c>
      <c r="D54" s="8">
        <v>99.1</v>
      </c>
      <c r="E54" s="5">
        <v>37.299999999999997</v>
      </c>
      <c r="F54">
        <v>153</v>
      </c>
      <c r="G54">
        <v>53</v>
      </c>
      <c r="H54">
        <v>66</v>
      </c>
      <c r="I54">
        <v>19</v>
      </c>
      <c r="J54">
        <v>97.5</v>
      </c>
      <c r="K54" t="b">
        <v>0</v>
      </c>
      <c r="L54" t="s">
        <v>16</v>
      </c>
      <c r="M54" t="s">
        <v>16</v>
      </c>
      <c r="N54">
        <v>1</v>
      </c>
      <c r="O54">
        <v>0</v>
      </c>
    </row>
    <row r="55" spans="1:15" x14ac:dyDescent="0.3">
      <c r="A55">
        <v>18690742</v>
      </c>
      <c r="B55">
        <v>23566255</v>
      </c>
      <c r="C55" t="s">
        <v>17</v>
      </c>
      <c r="D55" s="7">
        <v>97.7</v>
      </c>
      <c r="E55" s="4">
        <v>36.5</v>
      </c>
      <c r="F55">
        <v>122</v>
      </c>
      <c r="G55">
        <v>49</v>
      </c>
      <c r="H55">
        <v>122</v>
      </c>
      <c r="I55">
        <v>18</v>
      </c>
      <c r="J55">
        <v>100</v>
      </c>
      <c r="K55" t="b">
        <v>1</v>
      </c>
      <c r="L55" t="s">
        <v>16</v>
      </c>
      <c r="M55" t="s">
        <v>16</v>
      </c>
      <c r="N55">
        <v>3</v>
      </c>
      <c r="O55">
        <v>4</v>
      </c>
    </row>
    <row r="56" spans="1:15" x14ac:dyDescent="0.3">
      <c r="A56">
        <v>17571262</v>
      </c>
      <c r="B56">
        <v>24551970</v>
      </c>
      <c r="C56" t="s">
        <v>15</v>
      </c>
      <c r="D56" s="8"/>
      <c r="E56" s="5"/>
      <c r="L56" t="s">
        <v>16</v>
      </c>
      <c r="M56" t="s">
        <v>16</v>
      </c>
    </row>
    <row r="57" spans="1:15" x14ac:dyDescent="0.3">
      <c r="A57">
        <v>14286075</v>
      </c>
      <c r="B57">
        <v>25221596</v>
      </c>
      <c r="C57" t="s">
        <v>17</v>
      </c>
      <c r="D57" s="7">
        <v>97.7</v>
      </c>
      <c r="E57" s="4">
        <v>36.5</v>
      </c>
      <c r="F57">
        <v>126</v>
      </c>
      <c r="G57">
        <v>50</v>
      </c>
      <c r="H57">
        <v>90</v>
      </c>
      <c r="I57">
        <v>20</v>
      </c>
      <c r="J57">
        <v>94</v>
      </c>
      <c r="K57" t="b">
        <v>0</v>
      </c>
      <c r="L57" t="s">
        <v>16</v>
      </c>
      <c r="M57" t="s">
        <v>16</v>
      </c>
      <c r="N57">
        <v>1</v>
      </c>
      <c r="O57">
        <v>1</v>
      </c>
    </row>
    <row r="58" spans="1:15" x14ac:dyDescent="0.3">
      <c r="A58">
        <v>16279137</v>
      </c>
      <c r="B58">
        <v>22172034</v>
      </c>
      <c r="C58" t="s">
        <v>15</v>
      </c>
      <c r="D58" s="8">
        <v>97.9</v>
      </c>
      <c r="E58" s="5">
        <v>36.6</v>
      </c>
      <c r="F58">
        <v>131</v>
      </c>
      <c r="G58">
        <v>53</v>
      </c>
      <c r="H58">
        <v>60</v>
      </c>
      <c r="I58">
        <v>16</v>
      </c>
      <c r="J58">
        <v>100</v>
      </c>
      <c r="K58" t="b">
        <v>0</v>
      </c>
      <c r="L58" t="s">
        <v>16</v>
      </c>
      <c r="M58" t="s">
        <v>16</v>
      </c>
      <c r="N58">
        <v>1</v>
      </c>
      <c r="O58">
        <v>0</v>
      </c>
    </row>
    <row r="59" spans="1:15" x14ac:dyDescent="0.3">
      <c r="A59">
        <v>17005340</v>
      </c>
      <c r="B59">
        <v>23737798</v>
      </c>
      <c r="C59" t="s">
        <v>15</v>
      </c>
      <c r="D59" s="8"/>
      <c r="E59" s="5"/>
      <c r="K59" t="b">
        <v>0</v>
      </c>
      <c r="L59" t="s">
        <v>16</v>
      </c>
      <c r="M59" t="s">
        <v>16</v>
      </c>
    </row>
    <row r="60" spans="1:15" x14ac:dyDescent="0.3">
      <c r="A60">
        <v>18606401</v>
      </c>
      <c r="B60">
        <v>27563676</v>
      </c>
      <c r="C60" t="s">
        <v>17</v>
      </c>
      <c r="D60" s="7"/>
      <c r="E60" s="4"/>
      <c r="L60" t="s">
        <v>16</v>
      </c>
      <c r="M60" t="s">
        <v>16</v>
      </c>
    </row>
    <row r="61" spans="1:15" x14ac:dyDescent="0.3">
      <c r="A61">
        <v>18131667</v>
      </c>
      <c r="B61">
        <v>28337235</v>
      </c>
      <c r="C61" t="s">
        <v>15</v>
      </c>
      <c r="D61" s="8">
        <v>99.8</v>
      </c>
      <c r="E61" s="5">
        <v>37.700000000000003</v>
      </c>
      <c r="F61">
        <v>104</v>
      </c>
      <c r="G61">
        <v>64</v>
      </c>
      <c r="H61">
        <v>93</v>
      </c>
      <c r="I61">
        <v>18</v>
      </c>
      <c r="J61">
        <v>98</v>
      </c>
      <c r="K61" t="b">
        <v>0</v>
      </c>
      <c r="L61" t="s">
        <v>16</v>
      </c>
      <c r="M61" t="s">
        <v>16</v>
      </c>
      <c r="N61">
        <v>1</v>
      </c>
      <c r="O61">
        <v>2</v>
      </c>
    </row>
    <row r="62" spans="1:15" x14ac:dyDescent="0.3">
      <c r="A62">
        <v>14130788</v>
      </c>
      <c r="B62">
        <v>24283646</v>
      </c>
      <c r="C62" t="s">
        <v>15</v>
      </c>
      <c r="D62" s="7">
        <v>98.6</v>
      </c>
      <c r="E62" s="4">
        <v>37</v>
      </c>
      <c r="F62">
        <v>152</v>
      </c>
      <c r="G62">
        <v>65</v>
      </c>
      <c r="H62">
        <v>97</v>
      </c>
      <c r="I62">
        <v>18</v>
      </c>
      <c r="J62">
        <v>92</v>
      </c>
      <c r="K62" t="b">
        <v>0</v>
      </c>
      <c r="L62" t="s">
        <v>16</v>
      </c>
      <c r="M62" t="s">
        <v>16</v>
      </c>
      <c r="N62">
        <v>1</v>
      </c>
      <c r="O62">
        <v>3</v>
      </c>
    </row>
    <row r="63" spans="1:15" x14ac:dyDescent="0.3">
      <c r="A63">
        <v>17129688</v>
      </c>
      <c r="B63">
        <v>21342275</v>
      </c>
      <c r="C63" t="s">
        <v>17</v>
      </c>
      <c r="D63" s="8">
        <v>99.3</v>
      </c>
      <c r="E63" s="5">
        <v>37.4</v>
      </c>
      <c r="F63">
        <v>137</v>
      </c>
      <c r="G63">
        <v>80</v>
      </c>
      <c r="H63">
        <v>108</v>
      </c>
      <c r="I63">
        <v>22</v>
      </c>
      <c r="J63">
        <v>97</v>
      </c>
      <c r="K63" t="b">
        <v>1</v>
      </c>
      <c r="L63" t="s">
        <v>16</v>
      </c>
      <c r="M63" t="s">
        <v>16</v>
      </c>
      <c r="N63">
        <v>3</v>
      </c>
      <c r="O63">
        <v>5</v>
      </c>
    </row>
    <row r="64" spans="1:15" x14ac:dyDescent="0.3">
      <c r="A64">
        <v>14878442</v>
      </c>
      <c r="B64">
        <v>21780881</v>
      </c>
      <c r="C64" t="s">
        <v>17</v>
      </c>
      <c r="D64" s="7">
        <v>96.5</v>
      </c>
      <c r="E64" s="4">
        <v>35.799999999999997</v>
      </c>
      <c r="F64">
        <v>101</v>
      </c>
      <c r="G64">
        <v>71</v>
      </c>
      <c r="H64">
        <v>73</v>
      </c>
      <c r="I64">
        <v>18</v>
      </c>
      <c r="J64">
        <v>100</v>
      </c>
      <c r="K64" t="b">
        <v>0</v>
      </c>
      <c r="L64" t="s">
        <v>22</v>
      </c>
      <c r="M64" t="s">
        <v>22</v>
      </c>
      <c r="N64">
        <v>2</v>
      </c>
      <c r="O64">
        <v>5</v>
      </c>
    </row>
    <row r="65" spans="1:15" x14ac:dyDescent="0.3">
      <c r="A65">
        <v>14029260</v>
      </c>
      <c r="B65">
        <v>28257730</v>
      </c>
      <c r="C65" t="s">
        <v>17</v>
      </c>
      <c r="D65" s="8">
        <v>98.6</v>
      </c>
      <c r="E65" s="5">
        <v>37</v>
      </c>
      <c r="F65">
        <v>118</v>
      </c>
      <c r="G65">
        <v>70</v>
      </c>
      <c r="H65">
        <v>55</v>
      </c>
      <c r="I65">
        <v>18</v>
      </c>
      <c r="J65">
        <v>100</v>
      </c>
      <c r="K65" t="b">
        <v>0</v>
      </c>
      <c r="L65" t="s">
        <v>16</v>
      </c>
      <c r="M65" t="s">
        <v>16</v>
      </c>
      <c r="N65">
        <v>1</v>
      </c>
      <c r="O65">
        <v>0</v>
      </c>
    </row>
    <row r="66" spans="1:15" x14ac:dyDescent="0.3">
      <c r="A66">
        <v>19822093</v>
      </c>
      <c r="B66">
        <v>23960903</v>
      </c>
      <c r="C66" t="s">
        <v>15</v>
      </c>
      <c r="D66" s="7">
        <v>97.9</v>
      </c>
      <c r="E66" s="4">
        <v>36.6</v>
      </c>
      <c r="F66">
        <v>129</v>
      </c>
      <c r="G66">
        <v>80</v>
      </c>
      <c r="H66">
        <v>109</v>
      </c>
      <c r="I66">
        <v>18</v>
      </c>
      <c r="J66">
        <v>99</v>
      </c>
      <c r="K66" t="b">
        <v>0</v>
      </c>
      <c r="L66" t="s">
        <v>16</v>
      </c>
      <c r="M66" t="s">
        <v>16</v>
      </c>
      <c r="N66">
        <v>2</v>
      </c>
      <c r="O66">
        <v>1</v>
      </c>
    </row>
    <row r="67" spans="1:15" x14ac:dyDescent="0.3">
      <c r="A67">
        <v>14245215</v>
      </c>
      <c r="B67">
        <v>26742807</v>
      </c>
      <c r="C67" t="s">
        <v>17</v>
      </c>
      <c r="D67" s="8">
        <v>97</v>
      </c>
      <c r="E67" s="5">
        <v>36.1</v>
      </c>
      <c r="F67">
        <v>103</v>
      </c>
      <c r="G67">
        <v>64</v>
      </c>
      <c r="H67">
        <v>78</v>
      </c>
      <c r="I67">
        <v>18</v>
      </c>
      <c r="J67">
        <v>94</v>
      </c>
      <c r="K67" t="b">
        <v>1</v>
      </c>
      <c r="L67" t="s">
        <v>22</v>
      </c>
      <c r="M67" t="s">
        <v>22</v>
      </c>
      <c r="N67">
        <v>2</v>
      </c>
      <c r="O67">
        <v>7</v>
      </c>
    </row>
    <row r="68" spans="1:15" x14ac:dyDescent="0.3">
      <c r="A68">
        <v>15259244</v>
      </c>
      <c r="B68">
        <v>21969255</v>
      </c>
      <c r="C68" t="s">
        <v>15</v>
      </c>
      <c r="D68" s="7">
        <v>99.2</v>
      </c>
      <c r="E68" s="4">
        <v>37.299999999999997</v>
      </c>
      <c r="F68">
        <v>117</v>
      </c>
      <c r="G68">
        <v>60</v>
      </c>
      <c r="H68">
        <v>94</v>
      </c>
      <c r="I68">
        <v>18</v>
      </c>
      <c r="J68">
        <v>100</v>
      </c>
      <c r="K68" t="b">
        <v>1</v>
      </c>
      <c r="L68" t="s">
        <v>22</v>
      </c>
      <c r="M68" t="s">
        <v>22</v>
      </c>
      <c r="N68">
        <v>2</v>
      </c>
      <c r="O68">
        <v>6</v>
      </c>
    </row>
    <row r="69" spans="1:15" x14ac:dyDescent="0.3">
      <c r="A69">
        <v>19624947</v>
      </c>
      <c r="B69">
        <v>24536817</v>
      </c>
      <c r="C69" t="s">
        <v>17</v>
      </c>
      <c r="D69" s="8">
        <v>97.3</v>
      </c>
      <c r="E69" s="5">
        <v>36.299999999999997</v>
      </c>
      <c r="F69">
        <v>110</v>
      </c>
      <c r="G69">
        <v>63</v>
      </c>
      <c r="H69">
        <v>53</v>
      </c>
      <c r="I69">
        <v>16</v>
      </c>
      <c r="J69">
        <v>100</v>
      </c>
      <c r="K69" t="b">
        <v>0</v>
      </c>
      <c r="L69" t="s">
        <v>16</v>
      </c>
      <c r="M69" t="s">
        <v>16</v>
      </c>
      <c r="N69">
        <v>1</v>
      </c>
      <c r="O69">
        <v>1</v>
      </c>
    </row>
    <row r="70" spans="1:15" x14ac:dyDescent="0.3">
      <c r="A70">
        <v>13210648</v>
      </c>
      <c r="B70">
        <v>25658850</v>
      </c>
      <c r="C70" t="s">
        <v>15</v>
      </c>
      <c r="D70" s="7">
        <v>98.3</v>
      </c>
      <c r="E70" s="4">
        <v>36.799999999999997</v>
      </c>
      <c r="F70">
        <v>116</v>
      </c>
      <c r="G70">
        <v>62</v>
      </c>
      <c r="H70">
        <v>88</v>
      </c>
      <c r="I70">
        <v>18</v>
      </c>
      <c r="J70">
        <v>96</v>
      </c>
      <c r="K70" t="b">
        <v>0</v>
      </c>
      <c r="L70" t="s">
        <v>16</v>
      </c>
      <c r="M70" t="s">
        <v>16</v>
      </c>
      <c r="N70">
        <v>1</v>
      </c>
      <c r="O70">
        <v>0</v>
      </c>
    </row>
    <row r="71" spans="1:15" x14ac:dyDescent="0.3">
      <c r="A71">
        <v>12145581</v>
      </c>
      <c r="B71">
        <v>22326950</v>
      </c>
      <c r="C71" t="s">
        <v>17</v>
      </c>
      <c r="D71" s="8">
        <v>97.5</v>
      </c>
      <c r="E71" s="5">
        <v>36.4</v>
      </c>
      <c r="F71">
        <v>98</v>
      </c>
      <c r="G71">
        <v>57</v>
      </c>
      <c r="H71">
        <v>112</v>
      </c>
      <c r="I71">
        <v>17</v>
      </c>
      <c r="J71">
        <v>90</v>
      </c>
      <c r="K71" t="b">
        <v>0</v>
      </c>
      <c r="L71" t="s">
        <v>16</v>
      </c>
      <c r="M71" t="s">
        <v>16</v>
      </c>
      <c r="N71">
        <v>4</v>
      </c>
      <c r="O71">
        <v>7</v>
      </c>
    </row>
    <row r="72" spans="1:15" x14ac:dyDescent="0.3">
      <c r="A72">
        <v>16459432</v>
      </c>
      <c r="B72">
        <v>26878246</v>
      </c>
      <c r="C72" t="s">
        <v>15</v>
      </c>
      <c r="D72" s="7">
        <v>97.7</v>
      </c>
      <c r="E72" s="4">
        <v>36.5</v>
      </c>
      <c r="F72">
        <v>144</v>
      </c>
      <c r="G72">
        <v>86</v>
      </c>
      <c r="H72">
        <v>98</v>
      </c>
      <c r="I72">
        <v>18</v>
      </c>
      <c r="J72">
        <v>100</v>
      </c>
      <c r="K72" t="b">
        <v>1</v>
      </c>
      <c r="L72" t="s">
        <v>16</v>
      </c>
      <c r="M72" t="s">
        <v>16</v>
      </c>
      <c r="N72">
        <v>1</v>
      </c>
      <c r="O72">
        <v>3</v>
      </c>
    </row>
    <row r="73" spans="1:15" x14ac:dyDescent="0.3">
      <c r="A73">
        <v>10713920</v>
      </c>
      <c r="B73">
        <v>23293919</v>
      </c>
      <c r="C73" t="s">
        <v>15</v>
      </c>
      <c r="D73" s="8">
        <v>97.9</v>
      </c>
      <c r="E73" s="5">
        <v>36.6</v>
      </c>
      <c r="F73">
        <v>135</v>
      </c>
      <c r="G73">
        <v>70</v>
      </c>
      <c r="H73">
        <v>73</v>
      </c>
      <c r="I73">
        <v>18</v>
      </c>
      <c r="J73">
        <v>98</v>
      </c>
      <c r="K73" t="b">
        <v>1</v>
      </c>
      <c r="L73" t="s">
        <v>16</v>
      </c>
      <c r="M73" t="s">
        <v>16</v>
      </c>
      <c r="N73">
        <v>1</v>
      </c>
      <c r="O73">
        <v>2</v>
      </c>
    </row>
    <row r="74" spans="1:15" x14ac:dyDescent="0.3">
      <c r="A74">
        <v>12864005</v>
      </c>
      <c r="B74">
        <v>24615304</v>
      </c>
      <c r="C74" t="s">
        <v>17</v>
      </c>
      <c r="D74" s="7"/>
      <c r="E74" s="4"/>
      <c r="L74" t="s">
        <v>16</v>
      </c>
      <c r="M74" t="s">
        <v>16</v>
      </c>
    </row>
    <row r="75" spans="1:15" x14ac:dyDescent="0.3">
      <c r="A75">
        <v>19649250</v>
      </c>
      <c r="B75">
        <v>25759848</v>
      </c>
      <c r="C75" t="s">
        <v>18</v>
      </c>
      <c r="D75" s="7">
        <v>102.4</v>
      </c>
      <c r="E75" s="4">
        <v>39.1</v>
      </c>
      <c r="F75">
        <v>102</v>
      </c>
      <c r="G75">
        <v>45</v>
      </c>
      <c r="H75">
        <v>100</v>
      </c>
      <c r="I75">
        <v>22</v>
      </c>
      <c r="J75">
        <v>100</v>
      </c>
      <c r="K75" t="b">
        <v>1</v>
      </c>
      <c r="L75" t="s">
        <v>16</v>
      </c>
      <c r="M75" t="s">
        <v>16</v>
      </c>
      <c r="N75">
        <v>4</v>
      </c>
      <c r="O75">
        <v>8</v>
      </c>
    </row>
    <row r="76" spans="1:15" x14ac:dyDescent="0.3">
      <c r="A76">
        <v>16388704</v>
      </c>
      <c r="B76">
        <v>20500676</v>
      </c>
      <c r="C76" t="s">
        <v>18</v>
      </c>
      <c r="D76" s="7">
        <v>98.6</v>
      </c>
      <c r="E76" s="4">
        <v>37</v>
      </c>
      <c r="F76">
        <v>122</v>
      </c>
      <c r="G76">
        <v>66</v>
      </c>
      <c r="H76">
        <v>61</v>
      </c>
      <c r="I76">
        <v>18</v>
      </c>
      <c r="J76">
        <v>98</v>
      </c>
      <c r="K76" t="b">
        <v>0</v>
      </c>
      <c r="L76" t="s">
        <v>16</v>
      </c>
      <c r="M76" t="s">
        <v>16</v>
      </c>
      <c r="N76">
        <v>1</v>
      </c>
      <c r="O76">
        <v>0</v>
      </c>
    </row>
    <row r="77" spans="1:15" x14ac:dyDescent="0.3">
      <c r="A77">
        <v>19477304</v>
      </c>
      <c r="B77">
        <v>25876676</v>
      </c>
      <c r="C77" t="s">
        <v>18</v>
      </c>
      <c r="D77" s="8">
        <v>97.6</v>
      </c>
      <c r="E77" s="5">
        <v>36.4</v>
      </c>
      <c r="F77">
        <v>113</v>
      </c>
      <c r="G77">
        <v>81</v>
      </c>
      <c r="H77">
        <v>90</v>
      </c>
      <c r="I77">
        <v>17</v>
      </c>
      <c r="J77">
        <v>96</v>
      </c>
      <c r="K77" t="b">
        <v>1</v>
      </c>
      <c r="L77" t="s">
        <v>22</v>
      </c>
      <c r="M77" t="s">
        <v>22</v>
      </c>
      <c r="N77">
        <v>2</v>
      </c>
      <c r="O77">
        <v>5</v>
      </c>
    </row>
    <row r="78" spans="1:15" x14ac:dyDescent="0.3">
      <c r="A78">
        <v>11454155</v>
      </c>
      <c r="B78">
        <v>20982656</v>
      </c>
      <c r="C78" t="s">
        <v>18</v>
      </c>
      <c r="D78" s="7">
        <v>102.5</v>
      </c>
      <c r="E78" s="4">
        <v>39.200000000000003</v>
      </c>
      <c r="F78">
        <v>130</v>
      </c>
      <c r="G78">
        <v>70</v>
      </c>
      <c r="H78">
        <v>109</v>
      </c>
      <c r="I78">
        <v>16</v>
      </c>
      <c r="J78">
        <v>97</v>
      </c>
      <c r="K78" t="b">
        <v>1</v>
      </c>
      <c r="L78" t="s">
        <v>20</v>
      </c>
      <c r="M78" t="s">
        <v>20</v>
      </c>
      <c r="N78">
        <v>7</v>
      </c>
      <c r="O78">
        <v>8</v>
      </c>
    </row>
    <row r="79" spans="1:15" x14ac:dyDescent="0.3">
      <c r="A79">
        <v>10500002</v>
      </c>
      <c r="B79">
        <v>27599129</v>
      </c>
      <c r="C79" t="s">
        <v>15</v>
      </c>
      <c r="D79" s="7">
        <v>99</v>
      </c>
      <c r="E79" s="4">
        <v>37.200000000000003</v>
      </c>
      <c r="F79">
        <v>102</v>
      </c>
      <c r="G79">
        <v>60</v>
      </c>
      <c r="H79">
        <v>84</v>
      </c>
      <c r="I79">
        <v>16</v>
      </c>
      <c r="J79">
        <v>100</v>
      </c>
      <c r="K79" t="b">
        <v>0</v>
      </c>
      <c r="L79" t="s">
        <v>16</v>
      </c>
      <c r="M79" t="s">
        <v>16</v>
      </c>
      <c r="N79">
        <v>1</v>
      </c>
      <c r="O79">
        <v>1</v>
      </c>
    </row>
    <row r="80" spans="1:15" x14ac:dyDescent="0.3">
      <c r="A80">
        <v>11443713</v>
      </c>
      <c r="B80">
        <v>25732846</v>
      </c>
      <c r="C80" t="s">
        <v>15</v>
      </c>
      <c r="D80" s="8">
        <v>99.3</v>
      </c>
      <c r="E80" s="5">
        <v>37.4</v>
      </c>
      <c r="F80">
        <v>146</v>
      </c>
      <c r="G80">
        <v>56</v>
      </c>
      <c r="H80">
        <v>86</v>
      </c>
      <c r="I80">
        <v>20</v>
      </c>
      <c r="J80">
        <v>98</v>
      </c>
      <c r="K80" t="b">
        <v>0</v>
      </c>
      <c r="L80" t="s">
        <v>16</v>
      </c>
      <c r="M80" t="s">
        <v>16</v>
      </c>
      <c r="N80">
        <v>1</v>
      </c>
      <c r="O80">
        <v>0</v>
      </c>
    </row>
    <row r="81" spans="1:15" x14ac:dyDescent="0.3">
      <c r="A81">
        <v>18098720</v>
      </c>
      <c r="B81">
        <v>25324520</v>
      </c>
      <c r="C81" t="s">
        <v>15</v>
      </c>
      <c r="D81" s="7">
        <v>98.55</v>
      </c>
      <c r="E81" s="4">
        <v>37</v>
      </c>
      <c r="F81">
        <v>145</v>
      </c>
      <c r="G81">
        <v>70</v>
      </c>
      <c r="J81">
        <v>97</v>
      </c>
      <c r="K81" t="b">
        <v>0</v>
      </c>
      <c r="L81" t="s">
        <v>16</v>
      </c>
      <c r="M81" t="s">
        <v>16</v>
      </c>
    </row>
    <row r="82" spans="1:15" x14ac:dyDescent="0.3">
      <c r="A82">
        <v>13937423</v>
      </c>
      <c r="B82">
        <v>26700467</v>
      </c>
      <c r="C82" t="s">
        <v>15</v>
      </c>
      <c r="D82" s="8">
        <v>97.4</v>
      </c>
      <c r="E82" s="5">
        <v>36.299999999999997</v>
      </c>
      <c r="F82">
        <v>186</v>
      </c>
      <c r="G82">
        <v>99</v>
      </c>
      <c r="H82">
        <v>81</v>
      </c>
      <c r="I82">
        <v>20</v>
      </c>
      <c r="J82">
        <v>97</v>
      </c>
      <c r="K82" t="b">
        <v>0</v>
      </c>
      <c r="L82" t="s">
        <v>19</v>
      </c>
      <c r="M82" t="s">
        <v>16</v>
      </c>
      <c r="N82">
        <v>4</v>
      </c>
      <c r="O82">
        <v>3</v>
      </c>
    </row>
    <row r="83" spans="1:15" x14ac:dyDescent="0.3">
      <c r="A83">
        <v>15239151</v>
      </c>
      <c r="B83">
        <v>25410352</v>
      </c>
      <c r="C83" t="s">
        <v>15</v>
      </c>
      <c r="D83" s="7"/>
      <c r="E83" s="4"/>
      <c r="K83" t="b">
        <v>0</v>
      </c>
      <c r="L83" t="s">
        <v>16</v>
      </c>
      <c r="M83" t="s">
        <v>16</v>
      </c>
    </row>
    <row r="84" spans="1:15" x14ac:dyDescent="0.3">
      <c r="A84">
        <v>12513536</v>
      </c>
      <c r="B84">
        <v>24647104</v>
      </c>
      <c r="C84" t="s">
        <v>15</v>
      </c>
      <c r="D84" s="8">
        <v>95.7</v>
      </c>
      <c r="E84" s="5">
        <v>35.4</v>
      </c>
      <c r="F84">
        <v>103</v>
      </c>
      <c r="G84">
        <v>52</v>
      </c>
      <c r="H84">
        <v>68</v>
      </c>
      <c r="I84">
        <v>20</v>
      </c>
      <c r="J84">
        <v>99</v>
      </c>
      <c r="K84" t="b">
        <v>1</v>
      </c>
      <c r="L84" t="s">
        <v>22</v>
      </c>
      <c r="M84" t="s">
        <v>22</v>
      </c>
      <c r="N84">
        <v>2</v>
      </c>
      <c r="O84">
        <v>7</v>
      </c>
    </row>
    <row r="85" spans="1:15" x14ac:dyDescent="0.3">
      <c r="A85">
        <v>16044540</v>
      </c>
      <c r="B85">
        <v>26224170</v>
      </c>
      <c r="C85" t="s">
        <v>18</v>
      </c>
      <c r="D85" s="7">
        <v>98.3</v>
      </c>
      <c r="E85" s="4">
        <v>36.799999999999997</v>
      </c>
      <c r="F85">
        <v>139</v>
      </c>
      <c r="G85">
        <v>89</v>
      </c>
      <c r="H85">
        <v>80</v>
      </c>
      <c r="I85">
        <v>18</v>
      </c>
      <c r="J85">
        <v>98</v>
      </c>
      <c r="K85" t="b">
        <v>0</v>
      </c>
      <c r="L85" t="s">
        <v>16</v>
      </c>
      <c r="M85" t="s">
        <v>16</v>
      </c>
      <c r="N85">
        <v>1</v>
      </c>
      <c r="O85">
        <v>0</v>
      </c>
    </row>
    <row r="86" spans="1:15" x14ac:dyDescent="0.3">
      <c r="A86">
        <v>16283409</v>
      </c>
      <c r="B86">
        <v>29399613</v>
      </c>
      <c r="C86" t="s">
        <v>15</v>
      </c>
      <c r="D86" s="8">
        <v>96</v>
      </c>
      <c r="E86" s="5">
        <v>35.6</v>
      </c>
      <c r="F86">
        <v>168</v>
      </c>
      <c r="G86">
        <v>98</v>
      </c>
      <c r="H86">
        <v>76</v>
      </c>
      <c r="I86">
        <v>16</v>
      </c>
      <c r="J86">
        <v>98</v>
      </c>
      <c r="K86" t="b">
        <v>0</v>
      </c>
      <c r="L86" t="s">
        <v>16</v>
      </c>
      <c r="M86" t="s">
        <v>16</v>
      </c>
      <c r="N86">
        <v>1</v>
      </c>
      <c r="O86">
        <v>1</v>
      </c>
    </row>
    <row r="87" spans="1:15" x14ac:dyDescent="0.3">
      <c r="A87">
        <v>19496137</v>
      </c>
      <c r="B87">
        <v>25505366</v>
      </c>
      <c r="C87" t="s">
        <v>17</v>
      </c>
      <c r="D87" s="7">
        <v>97.9</v>
      </c>
      <c r="E87" s="4">
        <v>36.6</v>
      </c>
      <c r="F87">
        <v>125</v>
      </c>
      <c r="G87">
        <v>86</v>
      </c>
      <c r="H87">
        <v>58</v>
      </c>
      <c r="I87">
        <v>18</v>
      </c>
      <c r="J87">
        <v>100</v>
      </c>
      <c r="K87" t="b">
        <v>0</v>
      </c>
      <c r="L87" t="s">
        <v>16</v>
      </c>
      <c r="M87" t="s">
        <v>16</v>
      </c>
      <c r="N87">
        <v>1</v>
      </c>
      <c r="O87">
        <v>0</v>
      </c>
    </row>
    <row r="88" spans="1:15" x14ac:dyDescent="0.3">
      <c r="A88">
        <v>15788491</v>
      </c>
      <c r="B88">
        <v>21534631</v>
      </c>
      <c r="C88" t="s">
        <v>17</v>
      </c>
      <c r="D88" s="8">
        <v>100.2</v>
      </c>
      <c r="E88" s="5">
        <v>37.9</v>
      </c>
      <c r="F88">
        <v>137</v>
      </c>
      <c r="G88">
        <v>71</v>
      </c>
      <c r="H88">
        <v>92</v>
      </c>
      <c r="I88">
        <v>18</v>
      </c>
      <c r="J88">
        <v>100</v>
      </c>
      <c r="K88" t="b">
        <v>0</v>
      </c>
      <c r="L88" t="s">
        <v>16</v>
      </c>
      <c r="M88" t="str">
        <f>IF(L88="Confusion", "Alert", L88)</f>
        <v>Alert</v>
      </c>
      <c r="N88">
        <f>IF(I88&lt;9,2,IF(I88&lt;=14,0,IF(I88&lt;=20,1,IF(I88&lt;=29,2,3)))) + IF(H88&lt;40,2,IF(H88&lt;=50,1,IF(H88&lt;=100,0,IF(H88&lt;=110,1,IF(H88&lt;=129,2,3))))) + IF(F88&lt;=70,3,IF(F88&lt;=80,2,IF(F88&lt;=100,1,IF(F88&lt;=199,0,2)))) + IF(E88&lt;35,2,IF(E88&lt;=38.4,0,IF(E88&lt;=38.9,1,2))) + IF(M88="Alert",0,IF(M88="Voice",1,IF(M88="Pain",2,IF(M88="Unresponsive",3,0))))</f>
        <v>1</v>
      </c>
      <c r="O88">
        <f>IF(I88&lt;=8,3,IF(I88&lt;=11,1,IF(I88&lt;=20,0,IF(I88&lt;=24,2,3)))) + IF(J88&lt;=91,3,IF(J88&lt;=93,2,IF(J88&lt;=95,1,0))) + IF(K88=TRUE,2,0) + IF(F88&lt;=90,3,IF(F88&lt;=100,2,IF(F88&lt;=110,1,IF(F88&lt;=219,0,3)))) + IF(H88&lt;=40,3,IF(H88&lt;=50,1,IF(H88&lt;=90,0,IF(H88&lt;=110,1,IF(H88&lt;=130,2,3))))) + IF(E88&lt;=35,3,IF(E88&lt;=36,1,IF(E88&lt;=38,0,IF(E88&lt;=39,1,2)))) + IF(L88="Alert",0,3)</f>
        <v>1</v>
      </c>
    </row>
    <row r="89" spans="1:15" x14ac:dyDescent="0.3">
      <c r="A89">
        <v>16827025</v>
      </c>
      <c r="B89">
        <v>27675827</v>
      </c>
      <c r="C89" t="s">
        <v>17</v>
      </c>
      <c r="D89" s="7" t="s">
        <v>23</v>
      </c>
      <c r="E89" s="4"/>
      <c r="F89" t="s">
        <v>23</v>
      </c>
      <c r="G89" t="s">
        <v>23</v>
      </c>
      <c r="H89" t="s">
        <v>23</v>
      </c>
      <c r="I89" t="s">
        <v>23</v>
      </c>
      <c r="J89" t="s">
        <v>23</v>
      </c>
      <c r="K89" t="s">
        <v>23</v>
      </c>
      <c r="L89" t="s">
        <v>16</v>
      </c>
      <c r="M89" t="str">
        <f>IF(L89="Confusion", "Alert", L89)</f>
        <v>Alert</v>
      </c>
      <c r="N89" t="s">
        <v>23</v>
      </c>
      <c r="O89" t="s">
        <v>23</v>
      </c>
    </row>
    <row r="90" spans="1:15" x14ac:dyDescent="0.3">
      <c r="A90">
        <v>18074766</v>
      </c>
      <c r="B90">
        <v>26554199</v>
      </c>
      <c r="C90" t="s">
        <v>17</v>
      </c>
      <c r="D90" s="8">
        <v>97.1</v>
      </c>
      <c r="E90" s="5">
        <v>36.200000000000003</v>
      </c>
      <c r="F90">
        <v>150</v>
      </c>
      <c r="G90">
        <v>101</v>
      </c>
      <c r="H90">
        <v>112</v>
      </c>
      <c r="I90">
        <v>18</v>
      </c>
      <c r="J90">
        <v>100</v>
      </c>
      <c r="K90" t="b">
        <v>1</v>
      </c>
      <c r="L90" t="s">
        <v>16</v>
      </c>
      <c r="M90" t="str">
        <f>IF(L90="Confusion", "Alert", L90)</f>
        <v>Alert</v>
      </c>
      <c r="N90">
        <f>IF(I90&lt;9,2,IF(I90&lt;=14,0,IF(I90&lt;=20,1,IF(I90&lt;=29,2,3)))) + IF(H90&lt;40,2,IF(H90&lt;=50,1,IF(H90&lt;=100,0,IF(H90&lt;=110,1,IF(H90&lt;=129,2,3))))) + IF(F90&lt;=70,3,IF(F90&lt;=80,2,IF(F90&lt;=100,1,IF(F90&lt;=199,0,2)))) + IF(E90&lt;35,2,IF(E90&lt;=38.4,0,IF(E90&lt;=38.9,1,2))) + IF(M90="Alert",0,IF(M90="Voice",1,IF(M90="Pain",2,IF(M90="Unresponsive",3,0))))</f>
        <v>3</v>
      </c>
      <c r="O90">
        <f>IF(I90&lt;=8,3,IF(I90&lt;=11,1,IF(I90&lt;=20,0,IF(I90&lt;=24,2,3)))) + IF(J90&lt;=91,3,IF(J90&lt;=93,2,IF(J90&lt;=95,1,0))) + IF(K90=TRUE,2,0) + IF(F90&lt;=90,3,IF(F90&lt;=100,2,IF(F90&lt;=110,1,IF(F90&lt;=219,0,3)))) + IF(H90&lt;=40,3,IF(H90&lt;=50,1,IF(H90&lt;=90,0,IF(H90&lt;=110,1,IF(H90&lt;=130,2,3))))) + IF(E90&lt;=35,3,IF(E90&lt;=36,1,IF(E90&lt;=38,0,IF(E90&lt;=39,1,2)))) + IF(L90="Alert",0,3)</f>
        <v>4</v>
      </c>
    </row>
    <row r="91" spans="1:15" x14ac:dyDescent="0.3">
      <c r="A91">
        <v>17966879</v>
      </c>
      <c r="B91">
        <v>26095468</v>
      </c>
      <c r="C91" t="s">
        <v>15</v>
      </c>
      <c r="D91" s="7" t="s">
        <v>23</v>
      </c>
      <c r="E91" s="4"/>
      <c r="F91" t="s">
        <v>23</v>
      </c>
      <c r="G91" t="s">
        <v>23</v>
      </c>
      <c r="H91" t="s">
        <v>23</v>
      </c>
      <c r="I91" t="s">
        <v>23</v>
      </c>
      <c r="J91" t="s">
        <v>23</v>
      </c>
      <c r="K91" t="b">
        <v>0</v>
      </c>
      <c r="L91" t="s">
        <v>16</v>
      </c>
      <c r="M91" t="str">
        <f>IF(L91="Confusion", "Alert", L91)</f>
        <v>Alert</v>
      </c>
      <c r="N91" t="s">
        <v>23</v>
      </c>
      <c r="O91" t="s">
        <v>23</v>
      </c>
    </row>
    <row r="92" spans="1:15" x14ac:dyDescent="0.3">
      <c r="A92">
        <v>12118431</v>
      </c>
      <c r="B92">
        <v>20979856</v>
      </c>
      <c r="C92" t="s">
        <v>15</v>
      </c>
      <c r="D92" s="8">
        <v>98.9</v>
      </c>
      <c r="E92" s="5">
        <v>37.200000000000003</v>
      </c>
      <c r="F92">
        <v>154</v>
      </c>
      <c r="G92">
        <v>85</v>
      </c>
      <c r="H92">
        <v>68</v>
      </c>
      <c r="I92">
        <v>18</v>
      </c>
      <c r="J92">
        <v>99</v>
      </c>
      <c r="K92" t="b">
        <v>0</v>
      </c>
      <c r="L92" t="s">
        <v>16</v>
      </c>
      <c r="M92" t="str">
        <f>IF(L92="Confusion", "Alert", L92)</f>
        <v>Alert</v>
      </c>
      <c r="N92">
        <f>IF(I92&lt;9,2,IF(I92&lt;=14,0,IF(I92&lt;=20,1,IF(I92&lt;=29,2,3)))) + IF(H92&lt;40,2,IF(H92&lt;=50,1,IF(H92&lt;=100,0,IF(H92&lt;=110,1,IF(H92&lt;=129,2,3))))) + IF(F92&lt;=70,3,IF(F92&lt;=80,2,IF(F92&lt;=100,1,IF(F92&lt;=199,0,2)))) + IF(E92&lt;35,2,IF(E92&lt;=38.4,0,IF(E92&lt;=38.9,1,2))) + IF(M92="Alert",0,IF(M92="Voice",1,IF(M92="Pain",2,IF(M92="Unresponsive",3,0))))</f>
        <v>1</v>
      </c>
      <c r="O92">
        <f>IF(I92&lt;=8,3,IF(I92&lt;=11,1,IF(I92&lt;=20,0,IF(I92&lt;=24,2,3)))) + IF(J92&lt;=91,3,IF(J92&lt;=93,2,IF(J92&lt;=95,1,0))) + IF(K92=TRUE,2,0) + IF(F92&lt;=90,3,IF(F92&lt;=100,2,IF(F92&lt;=110,1,IF(F92&lt;=219,0,3)))) + IF(H92&lt;=40,3,IF(H92&lt;=50,1,IF(H92&lt;=90,0,IF(H92&lt;=110,1,IF(H92&lt;=130,2,3))))) + IF(E92&lt;=35,3,IF(E92&lt;=36,1,IF(E92&lt;=38,0,IF(E92&lt;=39,1,2)))) + IF(L92="Alert",0,3)</f>
        <v>0</v>
      </c>
    </row>
    <row r="93" spans="1:15" x14ac:dyDescent="0.3">
      <c r="A93">
        <v>14045654</v>
      </c>
      <c r="B93">
        <v>29024792</v>
      </c>
      <c r="C93" t="s">
        <v>18</v>
      </c>
      <c r="D93" s="7">
        <v>98.7</v>
      </c>
      <c r="E93" s="4">
        <v>37.1</v>
      </c>
      <c r="F93">
        <v>95</v>
      </c>
      <c r="G93">
        <v>48</v>
      </c>
      <c r="H93">
        <v>103</v>
      </c>
      <c r="I93">
        <v>18</v>
      </c>
      <c r="J93">
        <v>100</v>
      </c>
      <c r="K93" t="b">
        <v>0</v>
      </c>
      <c r="L93" t="s">
        <v>19</v>
      </c>
      <c r="M93" t="str">
        <f>IF(L93="Confusion", "Alert", L93)</f>
        <v>Alert</v>
      </c>
      <c r="N93">
        <f>IF(I93&lt;9,2,IF(I93&lt;=14,0,IF(I93&lt;=20,1,IF(I93&lt;=29,2,3)))) + IF(H93&lt;40,2,IF(H93&lt;=50,1,IF(H93&lt;=100,0,IF(H93&lt;=110,1,IF(H93&lt;=129,2,3))))) + IF(F93&lt;=70,3,IF(F93&lt;=80,2,IF(F93&lt;=100,1,IF(F93&lt;=199,0,2)))) + IF(E93&lt;35,2,IF(E93&lt;=38.4,0,IF(E93&lt;=38.9,1,2))) + IF(M93="Alert",0,IF(M93="Voice",1,IF(M93="Pain",2,IF(M93="Unresponsive",3,0))))</f>
        <v>3</v>
      </c>
      <c r="O93">
        <f>IF(I93&lt;=8,3,IF(I93&lt;=11,1,IF(I93&lt;=20,0,IF(I93&lt;=24,2,3)))) + IF(J93&lt;=91,3,IF(J93&lt;=93,2,IF(J93&lt;=95,1,0))) + IF(K93=TRUE,2,0) + IF(F93&lt;=90,3,IF(F93&lt;=100,2,IF(F93&lt;=110,1,IF(F93&lt;=219,0,3)))) + IF(H93&lt;=40,3,IF(H93&lt;=50,1,IF(H93&lt;=90,0,IF(H93&lt;=110,1,IF(H93&lt;=130,2,3))))) + IF(E93&lt;=35,3,IF(E93&lt;=36,1,IF(E93&lt;=38,0,IF(E93&lt;=39,1,2)))) + IF(L93="Alert",0,3)</f>
        <v>6</v>
      </c>
    </row>
    <row r="94" spans="1:15" x14ac:dyDescent="0.3">
      <c r="A94">
        <v>11742862</v>
      </c>
      <c r="B94">
        <v>25752942</v>
      </c>
      <c r="C94" t="s">
        <v>15</v>
      </c>
      <c r="D94" s="8">
        <v>36.700000000000003</v>
      </c>
      <c r="E94" s="5">
        <v>2.6</v>
      </c>
      <c r="F94">
        <v>148</v>
      </c>
      <c r="G94">
        <v>46</v>
      </c>
      <c r="H94">
        <v>82</v>
      </c>
      <c r="I94">
        <v>20</v>
      </c>
      <c r="J94">
        <v>100</v>
      </c>
      <c r="K94" t="b">
        <v>0</v>
      </c>
      <c r="L94" t="s">
        <v>16</v>
      </c>
      <c r="M94" t="str">
        <f>IF(L94="Confusion", "Alert", L94)</f>
        <v>Alert</v>
      </c>
      <c r="N94">
        <f>IF(I94&lt;9,2,IF(I94&lt;=14,0,IF(I94&lt;=20,1,IF(I94&lt;=29,2,3)))) + IF(H94&lt;40,2,IF(H94&lt;=50,1,IF(H94&lt;=100,0,IF(H94&lt;=110,1,IF(H94&lt;=129,2,3))))) + IF(F94&lt;=70,3,IF(F94&lt;=80,2,IF(F94&lt;=100,1,IF(F94&lt;=199,0,2)))) + IF(E94&lt;35,2,IF(E94&lt;=38.4,0,IF(E94&lt;=38.9,1,2))) + IF(M94="Alert",0,IF(M94="Voice",1,IF(M94="Pain",2,IF(M94="Unresponsive",3,0))))</f>
        <v>3</v>
      </c>
      <c r="O94">
        <f>IF(I94&lt;=8,3,IF(I94&lt;=11,1,IF(I94&lt;=20,0,IF(I94&lt;=24,2,3)))) + IF(J94&lt;=91,3,IF(J94&lt;=93,2,IF(J94&lt;=95,1,0))) + IF(K94=TRUE,2,0) + IF(F94&lt;=90,3,IF(F94&lt;=100,2,IF(F94&lt;=110,1,IF(F94&lt;=219,0,3)))) + IF(H94&lt;=40,3,IF(H94&lt;=50,1,IF(H94&lt;=90,0,IF(H94&lt;=110,1,IF(H94&lt;=130,2,3))))) + IF(E94&lt;=35,3,IF(E94&lt;=36,1,IF(E94&lt;=38,0,IF(E94&lt;=39,1,2)))) + IF(L94="Alert",0,3)</f>
        <v>3</v>
      </c>
    </row>
    <row r="95" spans="1:15" x14ac:dyDescent="0.3">
      <c r="A95">
        <v>11793360</v>
      </c>
      <c r="B95">
        <v>21169832</v>
      </c>
      <c r="C95" t="s">
        <v>15</v>
      </c>
      <c r="D95" s="7">
        <v>98</v>
      </c>
      <c r="E95" s="4">
        <v>36.700000000000003</v>
      </c>
      <c r="F95">
        <v>177</v>
      </c>
      <c r="G95">
        <v>86</v>
      </c>
      <c r="H95">
        <v>62</v>
      </c>
      <c r="I95">
        <v>16</v>
      </c>
      <c r="J95">
        <v>99</v>
      </c>
      <c r="K95" t="b">
        <v>0</v>
      </c>
      <c r="L95" t="s">
        <v>16</v>
      </c>
      <c r="M95" t="str">
        <f>IF(L95="Confusion", "Alert", L95)</f>
        <v>Alert</v>
      </c>
      <c r="N95">
        <f>IF(I95&lt;9,2,IF(I95&lt;=14,0,IF(I95&lt;=20,1,IF(I95&lt;=29,2,3)))) + IF(H95&lt;40,2,IF(H95&lt;=50,1,IF(H95&lt;=100,0,IF(H95&lt;=110,1,IF(H95&lt;=129,2,3))))) + IF(F95&lt;=70,3,IF(F95&lt;=80,2,IF(F95&lt;=100,1,IF(F95&lt;=199,0,2)))) + IF(E95&lt;35,2,IF(E95&lt;=38.4,0,IF(E95&lt;=38.9,1,2))) + IF(M95="Alert",0,IF(M95="Voice",1,IF(M95="Pain",2,IF(M95="Unresponsive",3,0))))</f>
        <v>1</v>
      </c>
      <c r="O95">
        <f>IF(I95&lt;=8,3,IF(I95&lt;=11,1,IF(I95&lt;=20,0,IF(I95&lt;=24,2,3)))) + IF(J95&lt;=91,3,IF(J95&lt;=93,2,IF(J95&lt;=95,1,0))) + IF(K95=TRUE,2,0) + IF(F95&lt;=90,3,IF(F95&lt;=100,2,IF(F95&lt;=110,1,IF(F95&lt;=219,0,3)))) + IF(H95&lt;=40,3,IF(H95&lt;=50,1,IF(H95&lt;=90,0,IF(H95&lt;=110,1,IF(H95&lt;=130,2,3))))) + IF(E95&lt;=35,3,IF(E95&lt;=36,1,IF(E95&lt;=38,0,IF(E95&lt;=39,1,2)))) + IF(L95="Alert",0,3)</f>
        <v>0</v>
      </c>
    </row>
    <row r="96" spans="1:15" x14ac:dyDescent="0.3">
      <c r="A96">
        <v>16653503</v>
      </c>
      <c r="B96">
        <v>23877283</v>
      </c>
      <c r="C96" t="s">
        <v>17</v>
      </c>
      <c r="D96" s="8">
        <v>97.8</v>
      </c>
      <c r="E96" s="5">
        <v>36.6</v>
      </c>
      <c r="F96">
        <v>132</v>
      </c>
      <c r="G96">
        <v>67</v>
      </c>
      <c r="H96">
        <v>50</v>
      </c>
      <c r="I96">
        <v>18</v>
      </c>
      <c r="J96">
        <v>97</v>
      </c>
      <c r="K96" t="b">
        <v>0</v>
      </c>
      <c r="L96" t="s">
        <v>16</v>
      </c>
      <c r="M96" t="str">
        <f>IF(L96="Confusion", "Alert", L96)</f>
        <v>Alert</v>
      </c>
      <c r="N96">
        <f>IF(I96&lt;9,2,IF(I96&lt;=14,0,IF(I96&lt;=20,1,IF(I96&lt;=29,2,3)))) + IF(H96&lt;40,2,IF(H96&lt;=50,1,IF(H96&lt;=100,0,IF(H96&lt;=110,1,IF(H96&lt;=129,2,3))))) + IF(F96&lt;=70,3,IF(F96&lt;=80,2,IF(F96&lt;=100,1,IF(F96&lt;=199,0,2)))) + IF(E96&lt;35,2,IF(E96&lt;=38.4,0,IF(E96&lt;=38.9,1,2))) + IF(M96="Alert",0,IF(M96="Voice",1,IF(M96="Pain",2,IF(M96="Unresponsive",3,0))))</f>
        <v>2</v>
      </c>
      <c r="O96">
        <f>IF(I96&lt;=8,3,IF(I96&lt;=11,1,IF(I96&lt;=20,0,IF(I96&lt;=24,2,3)))) + IF(J96&lt;=91,3,IF(J96&lt;=93,2,IF(J96&lt;=95,1,0))) + IF(K96=TRUE,2,0) + IF(F96&lt;=90,3,IF(F96&lt;=100,2,IF(F96&lt;=110,1,IF(F96&lt;=219,0,3)))) + IF(H96&lt;=40,3,IF(H96&lt;=50,1,IF(H96&lt;=90,0,IF(H96&lt;=110,1,IF(H96&lt;=130,2,3))))) + IF(E96&lt;=35,3,IF(E96&lt;=36,1,IF(E96&lt;=38,0,IF(E96&lt;=39,1,2)))) + IF(L96="Alert",0,3)</f>
        <v>1</v>
      </c>
    </row>
    <row r="97" spans="1:16" x14ac:dyDescent="0.3">
      <c r="A97">
        <v>14487480</v>
      </c>
      <c r="B97">
        <v>29073508</v>
      </c>
      <c r="C97" t="s">
        <v>15</v>
      </c>
      <c r="D97" s="7">
        <v>98.7</v>
      </c>
      <c r="E97" s="4">
        <v>37.1</v>
      </c>
      <c r="F97">
        <v>156</v>
      </c>
      <c r="G97">
        <v>92</v>
      </c>
      <c r="H97">
        <v>89</v>
      </c>
      <c r="I97">
        <v>20</v>
      </c>
      <c r="J97">
        <v>97</v>
      </c>
      <c r="K97" t="b">
        <v>0</v>
      </c>
      <c r="L97" t="s">
        <v>16</v>
      </c>
      <c r="M97" t="str">
        <f>IF(L97="Confusion", "Alert", L97)</f>
        <v>Alert</v>
      </c>
      <c r="N97">
        <f>IF(I97&lt;9,2,IF(I97&lt;=14,0,IF(I97&lt;=20,1,IF(I97&lt;=29,2,3)))) + IF(H97&lt;40,2,IF(H97&lt;=50,1,IF(H97&lt;=100,0,IF(H97&lt;=110,1,IF(H97&lt;=129,2,3))))) + IF(F97&lt;=70,3,IF(F97&lt;=80,2,IF(F97&lt;=100,1,IF(F97&lt;=199,0,2)))) + IF(E97&lt;35,2,IF(E97&lt;=38.4,0,IF(E97&lt;=38.9,1,2))) + IF(M97="Alert",0,IF(M97="Voice",1,IF(M97="Pain",2,IF(M97="Unresponsive",3,0))))</f>
        <v>1</v>
      </c>
      <c r="O97">
        <f>IF(I97&lt;=8,3,IF(I97&lt;=11,1,IF(I97&lt;=20,0,IF(I97&lt;=24,2,3)))) + IF(J97&lt;=91,3,IF(J97&lt;=93,2,IF(J97&lt;=95,1,0))) + IF(K97=TRUE,2,0) + IF(F97&lt;=90,3,IF(F97&lt;=100,2,IF(F97&lt;=110,1,IF(F97&lt;=219,0,3)))) + IF(H97&lt;=40,3,IF(H97&lt;=50,1,IF(H97&lt;=90,0,IF(H97&lt;=110,1,IF(H97&lt;=130,2,3))))) + IF(E97&lt;=35,3,IF(E97&lt;=36,1,IF(E97&lt;=38,0,IF(E97&lt;=39,1,2)))) + IF(L97="Alert",0,3)</f>
        <v>0</v>
      </c>
    </row>
    <row r="98" spans="1:16" x14ac:dyDescent="0.3">
      <c r="A98">
        <v>19614400</v>
      </c>
      <c r="B98">
        <v>25341152</v>
      </c>
      <c r="C98" t="s">
        <v>15</v>
      </c>
      <c r="D98" s="8" t="s">
        <v>23</v>
      </c>
      <c r="E98" s="5"/>
      <c r="F98">
        <v>153</v>
      </c>
      <c r="G98">
        <v>84</v>
      </c>
      <c r="H98">
        <v>49</v>
      </c>
      <c r="I98">
        <v>18</v>
      </c>
      <c r="J98">
        <v>100</v>
      </c>
      <c r="K98" t="s">
        <v>23</v>
      </c>
      <c r="L98" t="s">
        <v>16</v>
      </c>
      <c r="M98" t="str">
        <f>IF(L98="Confusion", "Alert", L98)</f>
        <v>Alert</v>
      </c>
      <c r="N98" t="s">
        <v>23</v>
      </c>
      <c r="O98" t="s">
        <v>23</v>
      </c>
    </row>
    <row r="99" spans="1:16" x14ac:dyDescent="0.3">
      <c r="A99">
        <v>14508493</v>
      </c>
      <c r="B99">
        <v>20710964</v>
      </c>
      <c r="C99" t="s">
        <v>18</v>
      </c>
      <c r="D99" s="7">
        <v>99.5</v>
      </c>
      <c r="E99" s="4">
        <v>37.5</v>
      </c>
      <c r="F99">
        <v>115</v>
      </c>
      <c r="G99">
        <v>72</v>
      </c>
      <c r="H99">
        <v>98</v>
      </c>
      <c r="I99">
        <v>20</v>
      </c>
      <c r="J99">
        <v>98</v>
      </c>
      <c r="K99" t="b">
        <v>0</v>
      </c>
      <c r="L99" t="s">
        <v>16</v>
      </c>
      <c r="M99" t="str">
        <f>IF(L99="Confusion", "Alert", L99)</f>
        <v>Alert</v>
      </c>
      <c r="N99">
        <f>IF(I99&lt;9,2,IF(I99&lt;=14,0,IF(I99&lt;=20,1,IF(I99&lt;=29,2,3)))) + IF(H99&lt;40,2,IF(H99&lt;=50,1,IF(H99&lt;=100,0,IF(H99&lt;=110,1,IF(H99&lt;=129,2,3))))) + IF(F99&lt;=70,3,IF(F99&lt;=80,2,IF(F99&lt;=100,1,IF(F99&lt;=199,0,2)))) + IF(E99&lt;35,2,IF(E99&lt;=38.4,0,IF(E99&lt;=38.9,1,2))) + IF(M99="Alert",0,IF(M99="Voice",1,IF(M99="Pain",2,IF(M99="Unresponsive",3,0))))</f>
        <v>1</v>
      </c>
      <c r="O99">
        <f>IF(I99&lt;=8,3,IF(I99&lt;=11,1,IF(I99&lt;=20,0,IF(I99&lt;=24,2,3)))) + IF(J99&lt;=91,3,IF(J99&lt;=93,2,IF(J99&lt;=95,1,0))) + IF(K99=TRUE,2,0) + IF(F99&lt;=90,3,IF(F99&lt;=100,2,IF(F99&lt;=110,1,IF(F99&lt;=219,0,3)))) + IF(H99&lt;=40,3,IF(H99&lt;=50,1,IF(H99&lt;=90,0,IF(H99&lt;=110,1,IF(H99&lt;=130,2,3))))) + IF(E99&lt;=35,3,IF(E99&lt;=36,1,IF(E99&lt;=38,0,IF(E99&lt;=39,1,2)))) + IF(L99="Alert",0,3)</f>
        <v>1</v>
      </c>
    </row>
    <row r="100" spans="1:16" x14ac:dyDescent="0.3">
      <c r="A100">
        <v>18979146</v>
      </c>
      <c r="B100">
        <v>25506996</v>
      </c>
      <c r="C100" t="s">
        <v>15</v>
      </c>
      <c r="D100" s="8">
        <v>99.3</v>
      </c>
      <c r="E100" s="5">
        <v>37.4</v>
      </c>
      <c r="F100">
        <v>175</v>
      </c>
      <c r="G100">
        <v>82</v>
      </c>
      <c r="H100">
        <v>70</v>
      </c>
      <c r="I100">
        <v>18</v>
      </c>
      <c r="J100">
        <v>95</v>
      </c>
      <c r="K100" t="b">
        <v>0</v>
      </c>
      <c r="L100" t="s">
        <v>16</v>
      </c>
      <c r="M100" t="str">
        <f>IF(L100="Confusion", "Alert", L100)</f>
        <v>Alert</v>
      </c>
      <c r="N100">
        <f>IF(I100&lt;9,2,IF(I100&lt;=14,0,IF(I100&lt;=20,1,IF(I100&lt;=29,2,3)))) + IF(H100&lt;40,2,IF(H100&lt;=50,1,IF(H100&lt;=100,0,IF(H100&lt;=110,1,IF(H100&lt;=129,2,3))))) + IF(F100&lt;=70,3,IF(F100&lt;=80,2,IF(F100&lt;=100,1,IF(F100&lt;=199,0,2)))) + IF(E100&lt;35,2,IF(E100&lt;=38.4,0,IF(E100&lt;=38.9,1,2))) + IF(M100="Alert",0,IF(M100="Voice",1,IF(M100="Pain",2,IF(M100="Unresponsive",3,0))))</f>
        <v>1</v>
      </c>
      <c r="O100">
        <f>IF(I100&lt;=8,3,IF(I100&lt;=11,1,IF(I100&lt;=20,0,IF(I100&lt;=24,2,3)))) + IF(J100&lt;=91,3,IF(J100&lt;=93,2,IF(J100&lt;=95,1,0))) + IF(K100=TRUE,2,0) + IF(F100&lt;=90,3,IF(F100&lt;=100,2,IF(F100&lt;=110,1,IF(F100&lt;=219,0,3)))) + IF(H100&lt;=40,3,IF(H100&lt;=50,1,IF(H100&lt;=90,0,IF(H100&lt;=110,1,IF(H100&lt;=130,2,3))))) + IF(E100&lt;=35,3,IF(E100&lt;=36,1,IF(E100&lt;=38,0,IF(E100&lt;=39,1,2)))) + IF(L100="Alert",0,3)</f>
        <v>1</v>
      </c>
    </row>
    <row r="101" spans="1:16" x14ac:dyDescent="0.3">
      <c r="A101">
        <v>12291152</v>
      </c>
      <c r="B101">
        <v>28747853</v>
      </c>
      <c r="C101" t="s">
        <v>15</v>
      </c>
      <c r="D101" s="7">
        <v>97.4</v>
      </c>
      <c r="E101" s="4">
        <v>36.299999999999997</v>
      </c>
      <c r="F101">
        <v>118</v>
      </c>
      <c r="G101">
        <v>86</v>
      </c>
      <c r="H101">
        <v>96</v>
      </c>
      <c r="I101">
        <v>28</v>
      </c>
      <c r="J101">
        <v>96</v>
      </c>
      <c r="K101" t="b">
        <v>1</v>
      </c>
      <c r="L101" t="s">
        <v>16</v>
      </c>
      <c r="M101" t="str">
        <f>IF(L101="Confusion", "Alert", L101)</f>
        <v>Alert</v>
      </c>
      <c r="N101">
        <f>IF(I101&lt;9,2,IF(I101&lt;=14,0,IF(I101&lt;=20,1,IF(I101&lt;=29,2,3)))) + IF(H101&lt;40,2,IF(H101&lt;=50,1,IF(H101&lt;=100,0,IF(H101&lt;=110,1,IF(H101&lt;=129,2,3))))) + IF(F101&lt;=70,3,IF(F101&lt;=80,2,IF(F101&lt;=100,1,IF(F101&lt;=199,0,2)))) + IF(E101&lt;35,2,IF(E101&lt;=38.4,0,IF(E101&lt;=38.9,1,2))) + IF(M101="Alert",0,IF(M101="Voice",1,IF(M101="Pain",2,IF(M101="Unresponsive",3,0))))</f>
        <v>2</v>
      </c>
      <c r="O101">
        <f>IF(I101&lt;=8,3,IF(I101&lt;=11,1,IF(I101&lt;=20,0,IF(I101&lt;=24,2,3)))) + IF(J101&lt;=91,3,IF(J101&lt;=93,2,IF(J101&lt;=95,1,0))) + IF(K101=TRUE,2,0) + IF(F101&lt;=90,3,IF(F101&lt;=100,2,IF(F101&lt;=110,1,IF(F101&lt;=219,0,3)))) + IF(H101&lt;=40,3,IF(H101&lt;=50,1,IF(H101&lt;=90,0,IF(H101&lt;=110,1,IF(H101&lt;=130,2,3))))) + IF(E101&lt;=35,3,IF(E101&lt;=36,1,IF(E101&lt;=38,0,IF(E101&lt;=39,1,2)))) + IF(L101="Alert",0,3)</f>
        <v>6</v>
      </c>
    </row>
    <row r="102" spans="1:16" x14ac:dyDescent="0.3">
      <c r="A102">
        <v>13213620</v>
      </c>
      <c r="B102">
        <v>23738630</v>
      </c>
      <c r="C102" t="s">
        <v>15</v>
      </c>
      <c r="D102" s="8">
        <v>98</v>
      </c>
      <c r="E102" s="5">
        <v>36.700000000000003</v>
      </c>
      <c r="F102">
        <v>130</v>
      </c>
      <c r="G102">
        <v>85</v>
      </c>
      <c r="H102">
        <v>80</v>
      </c>
      <c r="I102">
        <v>16</v>
      </c>
      <c r="J102">
        <v>100</v>
      </c>
      <c r="K102" t="b">
        <v>0</v>
      </c>
      <c r="L102" t="s">
        <v>16</v>
      </c>
      <c r="M102" t="str">
        <f>IF(L102="Confusion", "Alert", L102)</f>
        <v>Alert</v>
      </c>
      <c r="N102">
        <f>IF(I102&lt;9,2,IF(I102&lt;=14,0,IF(I102&lt;=20,1,IF(I102&lt;=29,2,3)))) + IF(H102&lt;40,2,IF(H102&lt;=50,1,IF(H102&lt;=100,0,IF(H102&lt;=110,1,IF(H102&lt;=129,2,3))))) + IF(F102&lt;=70,3,IF(F102&lt;=80,2,IF(F102&lt;=100,1,IF(F102&lt;=199,0,2)))) + IF(E102&lt;35,2,IF(E102&lt;=38.4,0,IF(E102&lt;=38.9,1,2))) + IF(M102="Alert",0,IF(M102="Voice",1,IF(M102="Pain",2,IF(M102="Unresponsive",3,0))))</f>
        <v>1</v>
      </c>
      <c r="O102">
        <f>IF(I102&lt;=8,3,IF(I102&lt;=11,1,IF(I102&lt;=20,0,IF(I102&lt;=24,2,3)))) + IF(J102&lt;=91,3,IF(J102&lt;=93,2,IF(J102&lt;=95,1,0))) + IF(K102=TRUE,2,0) + IF(F102&lt;=90,3,IF(F102&lt;=100,2,IF(F102&lt;=110,1,IF(F102&lt;=219,0,3)))) + IF(H102&lt;=40,3,IF(H102&lt;=50,1,IF(H102&lt;=90,0,IF(H102&lt;=110,1,IF(H102&lt;=130,2,3))))) + IF(E102&lt;=35,3,IF(E102&lt;=36,1,IF(E102&lt;=38,0,IF(E102&lt;=39,1,2)))) + IF(L102="Alert",0,3)</f>
        <v>0</v>
      </c>
    </row>
    <row r="103" spans="1:16" x14ac:dyDescent="0.3">
      <c r="A103">
        <v>18711850</v>
      </c>
      <c r="B103">
        <v>20449265</v>
      </c>
      <c r="C103" t="s">
        <v>18</v>
      </c>
      <c r="D103" s="8">
        <v>99.1</v>
      </c>
      <c r="E103" s="5">
        <v>37.299999999999997</v>
      </c>
      <c r="F103">
        <v>129</v>
      </c>
      <c r="G103">
        <v>84</v>
      </c>
      <c r="H103">
        <v>86</v>
      </c>
      <c r="I103">
        <v>18</v>
      </c>
      <c r="J103">
        <v>97</v>
      </c>
      <c r="K103" t="b">
        <v>0</v>
      </c>
      <c r="L103" t="s">
        <v>16</v>
      </c>
      <c r="M103" t="str">
        <f>IF(L103="Confusion", "Alert", L103)</f>
        <v>Alert</v>
      </c>
      <c r="N103">
        <f>IF(I103&lt;9,2,IF(I103&lt;=14,0,IF(I103&lt;=20,1,IF(I103&lt;=29,2,3)))) + IF(H103&lt;40,2,IF(H103&lt;=50,1,IF(H103&lt;=100,0,IF(H103&lt;=110,1,IF(H103&lt;=129,2,3))))) + IF(F103&lt;=70,3,IF(F103&lt;=80,2,IF(F103&lt;=100,1,IF(F103&lt;=199,0,2)))) + IF(E103&lt;35,2,IF(E103&lt;=38.4,0,IF(E103&lt;=38.9,1,2))) + IF(M103="Alert",0,IF(M103="Voice",1,IF(M103="Pain",2,IF(M103="Unresponsive",3,0))))</f>
        <v>1</v>
      </c>
      <c r="O103">
        <f>IF(I103&lt;=8,3,IF(I103&lt;=11,1,IF(I103&lt;=20,0,IF(I103&lt;=24,2,3)))) + IF(J103&lt;=91,3,IF(J103&lt;=93,2,IF(J103&lt;=95,1,0))) + IF(K103=TRUE,2,0) + IF(F103&lt;=90,3,IF(F103&lt;=100,2,IF(F103&lt;=110,1,IF(F103&lt;=219,0,3)))) + IF(H103&lt;=40,3,IF(H103&lt;=50,1,IF(H103&lt;=90,0,IF(H103&lt;=110,1,IF(H103&lt;=130,2,3))))) + IF(E103&lt;=35,3,IF(E103&lt;=36,1,IF(E103&lt;=38,0,IF(E103&lt;=39,1,2)))) + IF(L103="Alert",0,3)</f>
        <v>0</v>
      </c>
    </row>
    <row r="104" spans="1:16" x14ac:dyDescent="0.3">
      <c r="A104">
        <v>14670928</v>
      </c>
      <c r="B104">
        <v>27892420</v>
      </c>
      <c r="C104" t="s">
        <v>17</v>
      </c>
      <c r="D104" s="7">
        <v>98</v>
      </c>
      <c r="E104" s="4">
        <v>36.700000000000003</v>
      </c>
      <c r="F104">
        <v>106</v>
      </c>
      <c r="G104">
        <v>58</v>
      </c>
      <c r="H104">
        <v>65</v>
      </c>
      <c r="I104">
        <v>16</v>
      </c>
      <c r="J104">
        <v>98</v>
      </c>
      <c r="K104" t="b">
        <v>0</v>
      </c>
      <c r="L104" t="s">
        <v>16</v>
      </c>
      <c r="M104" t="str">
        <f>IF(L104="Confusion", "Alert", L104)</f>
        <v>Alert</v>
      </c>
      <c r="N104">
        <f>IF(I104&lt;9,2,IF(I104&lt;=14,0,IF(I104&lt;=20,1,IF(I104&lt;=29,2,3)))) + IF(H104&lt;40,2,IF(H104&lt;=50,1,IF(H104&lt;=100,0,IF(H104&lt;=110,1,IF(H104&lt;=129,2,3))))) + IF(F104&lt;=70,3,IF(F104&lt;=80,2,IF(F104&lt;=100,1,IF(F104&lt;=199,0,2)))) + IF(E104&lt;35,2,IF(E104&lt;=38.4,0,IF(E104&lt;=38.9,1,2))) + IF(M104="Alert",0,IF(M104="Voice",1,IF(M104="Pain",2,IF(M104="Unresponsive",3,0))))</f>
        <v>1</v>
      </c>
      <c r="O104">
        <f>IF(I104&lt;=8,3,IF(I104&lt;=11,1,IF(I104&lt;=20,0,IF(I104&lt;=24,2,3)))) + IF(J104&lt;=91,3,IF(J104&lt;=93,2,IF(J104&lt;=95,1,0))) + IF(K104=TRUE,2,0) + IF(F104&lt;=90,3,IF(F104&lt;=100,2,IF(F104&lt;=110,1,IF(F104&lt;=219,0,3)))) + IF(H104&lt;=40,3,IF(H104&lt;=50,1,IF(H104&lt;=90,0,IF(H104&lt;=110,1,IF(H104&lt;=130,2,3))))) + IF(E104&lt;=35,3,IF(E104&lt;=36,1,IF(E104&lt;=38,0,IF(E104&lt;=39,1,2)))) + IF(L104="Alert",0,3)</f>
        <v>1</v>
      </c>
    </row>
    <row r="105" spans="1:16" x14ac:dyDescent="0.3">
      <c r="A105">
        <v>17993950</v>
      </c>
      <c r="B105">
        <v>29247765</v>
      </c>
      <c r="C105" t="s">
        <v>15</v>
      </c>
      <c r="D105" s="8">
        <v>97.6</v>
      </c>
      <c r="E105" s="5">
        <v>36.4</v>
      </c>
      <c r="F105">
        <v>135</v>
      </c>
      <c r="G105">
        <v>83</v>
      </c>
      <c r="H105">
        <v>76</v>
      </c>
      <c r="I105">
        <v>18</v>
      </c>
      <c r="J105">
        <v>97</v>
      </c>
      <c r="K105" t="b">
        <v>0</v>
      </c>
      <c r="L105" t="s">
        <v>16</v>
      </c>
      <c r="M105" t="str">
        <f>IF(L105="Confusion", "Alert", L105)</f>
        <v>Alert</v>
      </c>
      <c r="N105">
        <f>IF(I105&lt;9,2,IF(I105&lt;=14,0,IF(I105&lt;=20,1,IF(I105&lt;=29,2,3)))) + IF(H105&lt;40,2,IF(H105&lt;=50,1,IF(H105&lt;=100,0,IF(H105&lt;=110,1,IF(H105&lt;=129,2,3))))) + IF(F105&lt;=70,3,IF(F105&lt;=80,2,IF(F105&lt;=100,1,IF(F105&lt;=199,0,2)))) + IF(E105&lt;35,2,IF(E105&lt;=38.4,0,IF(E105&lt;=38.9,1,2))) + IF(M105="Alert",0,IF(M105="Voice",1,IF(M105="Pain",2,IF(M105="Unresponsive",3,0))))</f>
        <v>1</v>
      </c>
      <c r="O105">
        <f>IF(I105&lt;=8,3,IF(I105&lt;=11,1,IF(I105&lt;=20,0,IF(I105&lt;=24,2,3)))) + IF(J105&lt;=91,3,IF(J105&lt;=93,2,IF(J105&lt;=95,1,0))) + IF(K105=TRUE,2,0) + IF(F105&lt;=90,3,IF(F105&lt;=100,2,IF(F105&lt;=110,1,IF(F105&lt;=219,0,3)))) + IF(H105&lt;=40,3,IF(H105&lt;=50,1,IF(H105&lt;=90,0,IF(H105&lt;=110,1,IF(H105&lt;=130,2,3))))) + IF(E105&lt;=35,3,IF(E105&lt;=36,1,IF(E105&lt;=38,0,IF(E105&lt;=39,1,2)))) + IF(L105="Alert",0,3)</f>
        <v>0</v>
      </c>
    </row>
    <row r="106" spans="1:16" x14ac:dyDescent="0.3">
      <c r="A106">
        <v>17921262</v>
      </c>
      <c r="B106">
        <v>29093525</v>
      </c>
      <c r="C106" t="s">
        <v>15</v>
      </c>
      <c r="D106" s="8">
        <v>98.9</v>
      </c>
      <c r="E106" s="5">
        <v>37.200000000000003</v>
      </c>
      <c r="F106">
        <v>128</v>
      </c>
      <c r="G106">
        <v>67</v>
      </c>
      <c r="H106">
        <v>83</v>
      </c>
      <c r="I106">
        <v>20</v>
      </c>
      <c r="J106">
        <v>97</v>
      </c>
      <c r="K106" t="b">
        <v>0</v>
      </c>
      <c r="L106" t="s">
        <v>16</v>
      </c>
      <c r="M106" t="str">
        <f>IF(L106="Confusion", "Alert", L106)</f>
        <v>Alert</v>
      </c>
      <c r="N106">
        <f>IF(I106&lt;9,2,IF(I106&lt;=14,0,IF(I106&lt;=20,1,IF(I106&lt;=29,2,3)))) + IF(H106&lt;40,2,IF(H106&lt;=50,1,IF(H106&lt;=100,0,IF(H106&lt;=110,1,IF(H106&lt;=129,2,3))))) + IF(F106&lt;=70,3,IF(F106&lt;=80,2,IF(F106&lt;=100,1,IF(F106&lt;=199,0,2)))) + IF(E106&lt;35,2,IF(E106&lt;=38.4,0,IF(E106&lt;=38.9,1,2))) + IF(M106="Alert",0,IF(M106="Voice",1,IF(M106="Pain",2,IF(M106="Unresponsive",3,0))))</f>
        <v>1</v>
      </c>
      <c r="O106">
        <f>IF(I106&lt;=8,3,IF(I106&lt;=11,1,IF(I106&lt;=20,0,IF(I106&lt;=24,2,3)))) + IF(J106&lt;=91,3,IF(J106&lt;=93,2,IF(J106&lt;=95,1,0))) + IF(K106=TRUE,2,0) + IF(F106&lt;=90,3,IF(F106&lt;=100,2,IF(F106&lt;=110,1,IF(F106&lt;=219,0,3)))) + IF(H106&lt;=40,3,IF(H106&lt;=50,1,IF(H106&lt;=90,0,IF(H106&lt;=110,1,IF(H106&lt;=130,2,3))))) + IF(E106&lt;=35,3,IF(E106&lt;=36,1,IF(E106&lt;=38,0,IF(E106&lt;=39,1,2)))) + IF(L106="Alert",0,3)</f>
        <v>0</v>
      </c>
      <c r="P106" s="2"/>
    </row>
    <row r="107" spans="1:16" x14ac:dyDescent="0.3">
      <c r="A107">
        <v>15897606</v>
      </c>
      <c r="B107">
        <v>28738067</v>
      </c>
      <c r="C107" t="s">
        <v>15</v>
      </c>
      <c r="D107" s="7">
        <v>97.6</v>
      </c>
      <c r="E107" s="4">
        <v>36.4</v>
      </c>
      <c r="F107">
        <v>116</v>
      </c>
      <c r="G107">
        <v>77</v>
      </c>
      <c r="H107">
        <v>89</v>
      </c>
      <c r="I107">
        <v>17</v>
      </c>
      <c r="J107">
        <v>97</v>
      </c>
      <c r="K107" t="b">
        <v>0</v>
      </c>
      <c r="L107" t="s">
        <v>16</v>
      </c>
      <c r="M107" t="str">
        <f>IF(L107="Confusion", "Alert", L107)</f>
        <v>Alert</v>
      </c>
      <c r="N107">
        <f>IF(I107&lt;9,2,IF(I107&lt;=14,0,IF(I107&lt;=20,1,IF(I107&lt;=29,2,3)))) + IF(H107&lt;40,2,IF(H107&lt;=50,1,IF(H107&lt;=100,0,IF(H107&lt;=110,1,IF(H107&lt;=129,2,3))))) + IF(F107&lt;=70,3,IF(F107&lt;=80,2,IF(F107&lt;=100,1,IF(F107&lt;=199,0,2)))) + IF(E107&lt;35,2,IF(E107&lt;=38.4,0,IF(E107&lt;=38.9,1,2))) + IF(M107="Alert",0,IF(M107="Voice",1,IF(M107="Pain",2,IF(M107="Unresponsive",3,0))))</f>
        <v>1</v>
      </c>
      <c r="O107">
        <f>IF(I107&lt;=8,3,IF(I107&lt;=11,1,IF(I107&lt;=20,0,IF(I107&lt;=24,2,3)))) + IF(J107&lt;=91,3,IF(J107&lt;=93,2,IF(J107&lt;=95,1,0))) + IF(K107=TRUE,2,0) + IF(F107&lt;=90,3,IF(F107&lt;=100,2,IF(F107&lt;=110,1,IF(F107&lt;=219,0,3)))) + IF(H107&lt;=40,3,IF(H107&lt;=50,1,IF(H107&lt;=90,0,IF(H107&lt;=110,1,IF(H107&lt;=130,2,3))))) + IF(E107&lt;=35,3,IF(E107&lt;=36,1,IF(E107&lt;=38,0,IF(E107&lt;=39,1,2)))) + IF(L107="Alert",0,3)</f>
        <v>0</v>
      </c>
    </row>
    <row r="108" spans="1:16" x14ac:dyDescent="0.3">
      <c r="A108">
        <v>10624280</v>
      </c>
      <c r="B108">
        <v>23039474</v>
      </c>
      <c r="C108" t="s">
        <v>15</v>
      </c>
      <c r="D108" s="8">
        <v>96.3</v>
      </c>
      <c r="E108" s="5">
        <v>35.700000000000003</v>
      </c>
      <c r="F108">
        <v>123</v>
      </c>
      <c r="G108">
        <v>84</v>
      </c>
      <c r="H108">
        <v>105</v>
      </c>
      <c r="I108">
        <v>29</v>
      </c>
      <c r="J108">
        <v>98</v>
      </c>
      <c r="K108" t="b">
        <v>1</v>
      </c>
      <c r="L108" t="s">
        <v>16</v>
      </c>
      <c r="M108" t="str">
        <f>IF(L108="Confusion", "Alert", L108)</f>
        <v>Alert</v>
      </c>
      <c r="N108">
        <f>IF(I108&lt;9,2,IF(I108&lt;=14,0,IF(I108&lt;=20,1,IF(I108&lt;=29,2,3)))) + IF(H108&lt;40,2,IF(H108&lt;=50,1,IF(H108&lt;=100,0,IF(H108&lt;=110,1,IF(H108&lt;=129,2,3))))) + IF(F108&lt;=70,3,IF(F108&lt;=80,2,IF(F108&lt;=100,1,IF(F108&lt;=199,0,2)))) + IF(E108&lt;35,2,IF(E108&lt;=38.4,0,IF(E108&lt;=38.9,1,2))) + IF(M108="Alert",0,IF(M108="Voice",1,IF(M108="Pain",2,IF(M108="Unresponsive",3,0))))</f>
        <v>3</v>
      </c>
      <c r="O108">
        <f>IF(I108&lt;=8,3,IF(I108&lt;=11,1,IF(I108&lt;=20,0,IF(I108&lt;=24,2,3)))) + IF(J108&lt;=91,3,IF(J108&lt;=93,2,IF(J108&lt;=95,1,0))) + IF(K108=TRUE,2,0) + IF(F108&lt;=90,3,IF(F108&lt;=100,2,IF(F108&lt;=110,1,IF(F108&lt;=219,0,3)))) + IF(H108&lt;=40,3,IF(H108&lt;=50,1,IF(H108&lt;=90,0,IF(H108&lt;=110,1,IF(H108&lt;=130,2,3))))) + IF(E108&lt;=35,3,IF(E108&lt;=36,1,IF(E108&lt;=38,0,IF(E108&lt;=39,1,2)))) + IF(L108="Alert",0,3)</f>
        <v>7</v>
      </c>
    </row>
    <row r="109" spans="1:16" x14ac:dyDescent="0.3">
      <c r="A109">
        <v>12168076</v>
      </c>
      <c r="B109">
        <v>27289225</v>
      </c>
      <c r="C109" t="s">
        <v>15</v>
      </c>
      <c r="D109" s="8">
        <v>97.8</v>
      </c>
      <c r="E109" s="5">
        <v>36.6</v>
      </c>
      <c r="F109">
        <v>106</v>
      </c>
      <c r="G109">
        <v>62</v>
      </c>
      <c r="H109">
        <v>58</v>
      </c>
      <c r="I109">
        <v>20</v>
      </c>
      <c r="J109">
        <v>94</v>
      </c>
      <c r="K109" t="b">
        <v>0</v>
      </c>
      <c r="L109" t="s">
        <v>16</v>
      </c>
      <c r="M109" t="str">
        <f>IF(L109="Confusion", "Alert", L109)</f>
        <v>Alert</v>
      </c>
      <c r="N109">
        <f>IF(I109&lt;9,2,IF(I109&lt;=14,0,IF(I109&lt;=20,1,IF(I109&lt;=29,2,3)))) + IF(H109&lt;40,2,IF(H109&lt;=50,1,IF(H109&lt;=100,0,IF(H109&lt;=110,1,IF(H109&lt;=129,2,3))))) + IF(F109&lt;=70,3,IF(F109&lt;=80,2,IF(F109&lt;=100,1,IF(F109&lt;=199,0,2)))) + IF(E109&lt;35,2,IF(E109&lt;=38.4,0,IF(E109&lt;=38.9,1,2))) + IF(M109="Alert",0,IF(M109="Voice",1,IF(M109="Pain",2,IF(M109="Unresponsive",3,0))))</f>
        <v>1</v>
      </c>
      <c r="O109">
        <f>IF(I109&lt;=8,3,IF(I109&lt;=11,1,IF(I109&lt;=20,0,IF(I109&lt;=24,2,3)))) + IF(J109&lt;=91,3,IF(J109&lt;=93,2,IF(J109&lt;=95,1,0))) + IF(K109=TRUE,2,0) + IF(F109&lt;=90,3,IF(F109&lt;=100,2,IF(F109&lt;=110,1,IF(F109&lt;=219,0,3)))) + IF(H109&lt;=40,3,IF(H109&lt;=50,1,IF(H109&lt;=90,0,IF(H109&lt;=110,1,IF(H109&lt;=130,2,3))))) + IF(E109&lt;=35,3,IF(E109&lt;=36,1,IF(E109&lt;=38,0,IF(E109&lt;=39,1,2)))) + IF(L109="Alert",0,3)</f>
        <v>2</v>
      </c>
    </row>
    <row r="110" spans="1:16" x14ac:dyDescent="0.3">
      <c r="A110">
        <v>17028437</v>
      </c>
      <c r="B110">
        <v>29085993</v>
      </c>
      <c r="C110" t="s">
        <v>17</v>
      </c>
      <c r="D110" s="7">
        <v>99.2</v>
      </c>
      <c r="E110" s="4">
        <v>37.299999999999997</v>
      </c>
      <c r="F110">
        <v>163</v>
      </c>
      <c r="G110">
        <v>77</v>
      </c>
      <c r="H110">
        <v>100</v>
      </c>
      <c r="I110">
        <v>18</v>
      </c>
      <c r="J110">
        <v>99</v>
      </c>
      <c r="K110" t="b">
        <v>0</v>
      </c>
      <c r="L110" t="s">
        <v>16</v>
      </c>
      <c r="M110" t="str">
        <f>IF(L110="Confusion", "Alert", L110)</f>
        <v>Alert</v>
      </c>
      <c r="N110">
        <f>IF(I110&lt;9,2,IF(I110&lt;=14,0,IF(I110&lt;=20,1,IF(I110&lt;=29,2,3)))) + IF(H110&lt;40,2,IF(H110&lt;=50,1,IF(H110&lt;=100,0,IF(H110&lt;=110,1,IF(H110&lt;=129,2,3))))) + IF(F110&lt;=70,3,IF(F110&lt;=80,2,IF(F110&lt;=100,1,IF(F110&lt;=199,0,2)))) + IF(E110&lt;35,2,IF(E110&lt;=38.4,0,IF(E110&lt;=38.9,1,2))) + IF(M110="Alert",0,IF(M110="Voice",1,IF(M110="Pain",2,IF(M110="Unresponsive",3,0))))</f>
        <v>1</v>
      </c>
      <c r="O110">
        <f>IF(I110&lt;=8,3,IF(I110&lt;=11,1,IF(I110&lt;=20,0,IF(I110&lt;=24,2,3)))) + IF(J110&lt;=91,3,IF(J110&lt;=93,2,IF(J110&lt;=95,1,0))) + IF(K110=TRUE,2,0) + IF(F110&lt;=90,3,IF(F110&lt;=100,2,IF(F110&lt;=110,1,IF(F110&lt;=219,0,3)))) + IF(H110&lt;=40,3,IF(H110&lt;=50,1,IF(H110&lt;=90,0,IF(H110&lt;=110,1,IF(H110&lt;=130,2,3))))) + IF(E110&lt;=35,3,IF(E110&lt;=36,1,IF(E110&lt;=38,0,IF(E110&lt;=39,1,2)))) + IF(L110="Alert",0,3)</f>
        <v>1</v>
      </c>
    </row>
    <row r="111" spans="1:16" x14ac:dyDescent="0.3">
      <c r="A111">
        <v>14057496</v>
      </c>
      <c r="B111">
        <v>27992814</v>
      </c>
      <c r="C111" t="s">
        <v>17</v>
      </c>
      <c r="D111" s="8">
        <v>98.7</v>
      </c>
      <c r="E111" s="5">
        <v>37.1</v>
      </c>
      <c r="F111">
        <v>152</v>
      </c>
      <c r="G111">
        <v>91</v>
      </c>
      <c r="H111">
        <v>77</v>
      </c>
      <c r="I111">
        <v>18</v>
      </c>
      <c r="J111">
        <v>98</v>
      </c>
      <c r="K111" t="b">
        <v>0</v>
      </c>
      <c r="L111" t="s">
        <v>16</v>
      </c>
      <c r="M111" t="str">
        <f>IF(L111="Confusion", "Alert", L111)</f>
        <v>Alert</v>
      </c>
      <c r="N111">
        <f>IF(I111&lt;9,2,IF(I111&lt;=14,0,IF(I111&lt;=20,1,IF(I111&lt;=29,2,3)))) + IF(H111&lt;40,2,IF(H111&lt;=50,1,IF(H111&lt;=100,0,IF(H111&lt;=110,1,IF(H111&lt;=129,2,3))))) + IF(F111&lt;=70,3,IF(F111&lt;=80,2,IF(F111&lt;=100,1,IF(F111&lt;=199,0,2)))) + IF(E111&lt;35,2,IF(E111&lt;=38.4,0,IF(E111&lt;=38.9,1,2))) + IF(M111="Alert",0,IF(M111="Voice",1,IF(M111="Pain",2,IF(M111="Unresponsive",3,0))))</f>
        <v>1</v>
      </c>
      <c r="O111">
        <f>IF(I111&lt;=8,3,IF(I111&lt;=11,1,IF(I111&lt;=20,0,IF(I111&lt;=24,2,3)))) + IF(J111&lt;=91,3,IF(J111&lt;=93,2,IF(J111&lt;=95,1,0))) + IF(K111=TRUE,2,0) + IF(F111&lt;=90,3,IF(F111&lt;=100,2,IF(F111&lt;=110,1,IF(F111&lt;=219,0,3)))) + IF(H111&lt;=40,3,IF(H111&lt;=50,1,IF(H111&lt;=90,0,IF(H111&lt;=110,1,IF(H111&lt;=130,2,3))))) + IF(E111&lt;=35,3,IF(E111&lt;=36,1,IF(E111&lt;=38,0,IF(E111&lt;=39,1,2)))) + IF(L111="Alert",0,3)</f>
        <v>0</v>
      </c>
    </row>
    <row r="112" spans="1:16" x14ac:dyDescent="0.3">
      <c r="A112">
        <v>11668372</v>
      </c>
      <c r="B112">
        <v>26976092</v>
      </c>
      <c r="C112" t="s">
        <v>17</v>
      </c>
      <c r="D112" s="7">
        <v>99.2</v>
      </c>
      <c r="E112" s="4">
        <v>37.299999999999997</v>
      </c>
      <c r="F112">
        <v>163</v>
      </c>
      <c r="G112">
        <v>77</v>
      </c>
      <c r="H112">
        <v>100</v>
      </c>
      <c r="I112">
        <v>18</v>
      </c>
      <c r="J112">
        <v>99</v>
      </c>
      <c r="K112" t="b">
        <v>0</v>
      </c>
      <c r="L112" t="s">
        <v>16</v>
      </c>
      <c r="M112" t="str">
        <f>IF(L112="Confusion", "Alert", L112)</f>
        <v>Alert</v>
      </c>
      <c r="N112">
        <f>IF(I112&lt;9,2,IF(I112&lt;=14,0,IF(I112&lt;=20,1,IF(I112&lt;=29,2,3)))) + IF(H112&lt;40,2,IF(H112&lt;=50,1,IF(H112&lt;=100,0,IF(H112&lt;=110,1,IF(H112&lt;=129,2,3))))) + IF(F112&lt;=70,3,IF(F112&lt;=80,2,IF(F112&lt;=100,1,IF(F112&lt;=199,0,2)))) + IF(E112&lt;35,2,IF(E112&lt;=38.4,0,IF(E112&lt;=38.9,1,2))) + IF(M112="Alert",0,IF(M112="Voice",1,IF(M112="Pain",2,IF(M112="Unresponsive",3,0))))</f>
        <v>1</v>
      </c>
      <c r="O112">
        <f>IF(I112&lt;=8,3,IF(I112&lt;=11,1,IF(I112&lt;=20,0,IF(I112&lt;=24,2,3)))) + IF(J112&lt;=91,3,IF(J112&lt;=93,2,IF(J112&lt;=95,1,0))) + IF(K112=TRUE,2,0) + IF(F112&lt;=90,3,IF(F112&lt;=100,2,IF(F112&lt;=110,1,IF(F112&lt;=219,0,3)))) + IF(H112&lt;=40,3,IF(H112&lt;=50,1,IF(H112&lt;=90,0,IF(H112&lt;=110,1,IF(H112&lt;=130,2,3))))) + IF(E112&lt;=35,3,IF(E112&lt;=36,1,IF(E112&lt;=38,0,IF(E112&lt;=39,1,2)))) + IF(L112="Alert",0,3)</f>
        <v>1</v>
      </c>
    </row>
    <row r="113" spans="1:15" x14ac:dyDescent="0.3">
      <c r="A113">
        <v>11651592</v>
      </c>
      <c r="B113">
        <v>23746355</v>
      </c>
      <c r="C113" t="s">
        <v>15</v>
      </c>
      <c r="D113" s="8">
        <v>98</v>
      </c>
      <c r="E113" s="5">
        <v>36.700000000000003</v>
      </c>
      <c r="F113">
        <v>172</v>
      </c>
      <c r="G113">
        <v>86</v>
      </c>
      <c r="H113">
        <v>108</v>
      </c>
      <c r="I113">
        <v>26</v>
      </c>
      <c r="J113">
        <v>94</v>
      </c>
      <c r="K113" t="b">
        <v>0</v>
      </c>
      <c r="L113" t="s">
        <v>16</v>
      </c>
      <c r="M113" t="str">
        <f>IF(L113="Confusion", "Alert", L113)</f>
        <v>Alert</v>
      </c>
      <c r="N113">
        <f>IF(I113&lt;9,2,IF(I113&lt;=14,0,IF(I113&lt;=20,1,IF(I113&lt;=29,2,3)))) + IF(H113&lt;40,2,IF(H113&lt;=50,1,IF(H113&lt;=100,0,IF(H113&lt;=110,1,IF(H113&lt;=129,2,3))))) + IF(F113&lt;=70,3,IF(F113&lt;=80,2,IF(F113&lt;=100,1,IF(F113&lt;=199,0,2)))) + IF(E113&lt;35,2,IF(E113&lt;=38.4,0,IF(E113&lt;=38.9,1,2))) + IF(M113="Alert",0,IF(M113="Voice",1,IF(M113="Pain",2,IF(M113="Unresponsive",3,0))))</f>
        <v>3</v>
      </c>
      <c r="O113">
        <f>IF(I113&lt;=8,3,IF(I113&lt;=11,1,IF(I113&lt;=20,0,IF(I113&lt;=24,2,3)))) + IF(J113&lt;=91,3,IF(J113&lt;=93,2,IF(J113&lt;=95,1,0))) + IF(K113=TRUE,2,0) + IF(F113&lt;=90,3,IF(F113&lt;=100,2,IF(F113&lt;=110,1,IF(F113&lt;=219,0,3)))) + IF(H113&lt;=40,3,IF(H113&lt;=50,1,IF(H113&lt;=90,0,IF(H113&lt;=110,1,IF(H113&lt;=130,2,3))))) + IF(E113&lt;=35,3,IF(E113&lt;=36,1,IF(E113&lt;=38,0,IF(E113&lt;=39,1,2)))) + IF(L113="Alert",0,3)</f>
        <v>5</v>
      </c>
    </row>
    <row r="114" spans="1:15" x14ac:dyDescent="0.3">
      <c r="A114">
        <v>10524770</v>
      </c>
      <c r="B114">
        <v>23666200</v>
      </c>
      <c r="C114" t="s">
        <v>17</v>
      </c>
      <c r="D114" s="7">
        <v>98.1</v>
      </c>
      <c r="E114" s="4">
        <v>36.700000000000003</v>
      </c>
      <c r="F114">
        <v>141</v>
      </c>
      <c r="G114">
        <v>65</v>
      </c>
      <c r="H114">
        <v>57</v>
      </c>
      <c r="I114">
        <v>18</v>
      </c>
      <c r="J114">
        <v>96</v>
      </c>
      <c r="K114" t="b">
        <v>0</v>
      </c>
      <c r="L114" t="s">
        <v>16</v>
      </c>
      <c r="M114" t="str">
        <f>IF(L114="Confusion", "Alert", L114)</f>
        <v>Alert</v>
      </c>
      <c r="N114">
        <f>IF(I114&lt;9,2,IF(I114&lt;=14,0,IF(I114&lt;=20,1,IF(I114&lt;=29,2,3)))) + IF(H114&lt;40,2,IF(H114&lt;=50,1,IF(H114&lt;=100,0,IF(H114&lt;=110,1,IF(H114&lt;=129,2,3))))) + IF(F114&lt;=70,3,IF(F114&lt;=80,2,IF(F114&lt;=100,1,IF(F114&lt;=199,0,2)))) + IF(E114&lt;35,2,IF(E114&lt;=38.4,0,IF(E114&lt;=38.9,1,2))) + IF(M114="Alert",0,IF(M114="Voice",1,IF(M114="Pain",2,IF(M114="Unresponsive",3,0))))</f>
        <v>1</v>
      </c>
      <c r="O114">
        <f>IF(I114&lt;=8,3,IF(I114&lt;=11,1,IF(I114&lt;=20,0,IF(I114&lt;=24,2,3)))) + IF(J114&lt;=91,3,IF(J114&lt;=93,2,IF(J114&lt;=95,1,0))) + IF(K114=TRUE,2,0) + IF(F114&lt;=90,3,IF(F114&lt;=100,2,IF(F114&lt;=110,1,IF(F114&lt;=219,0,3)))) + IF(H114&lt;=40,3,IF(H114&lt;=50,1,IF(H114&lt;=90,0,IF(H114&lt;=110,1,IF(H114&lt;=130,2,3))))) + IF(E114&lt;=35,3,IF(E114&lt;=36,1,IF(E114&lt;=38,0,IF(E114&lt;=39,1,2)))) + IF(L114="Alert",0,3)</f>
        <v>0</v>
      </c>
    </row>
    <row r="115" spans="1:15" x14ac:dyDescent="0.3">
      <c r="A115">
        <v>14663313</v>
      </c>
      <c r="B115">
        <v>28196106</v>
      </c>
      <c r="C115" t="s">
        <v>18</v>
      </c>
      <c r="D115" s="8">
        <v>97.5</v>
      </c>
      <c r="E115" s="5">
        <v>36.4</v>
      </c>
      <c r="F115">
        <v>119</v>
      </c>
      <c r="G115">
        <v>68</v>
      </c>
      <c r="H115">
        <v>74</v>
      </c>
      <c r="I115">
        <v>18</v>
      </c>
      <c r="J115">
        <v>100</v>
      </c>
      <c r="K115" t="b">
        <v>0</v>
      </c>
      <c r="L115" t="s">
        <v>16</v>
      </c>
      <c r="M115" t="str">
        <f>IF(L115="Confusion", "Alert", L115)</f>
        <v>Alert</v>
      </c>
      <c r="N115">
        <f>IF(I115&lt;9,2,IF(I115&lt;=14,0,IF(I115&lt;=20,1,IF(I115&lt;=29,2,3)))) + IF(H115&lt;40,2,IF(H115&lt;=50,1,IF(H115&lt;=100,0,IF(H115&lt;=110,1,IF(H115&lt;=129,2,3))))) + IF(F115&lt;=70,3,IF(F115&lt;=80,2,IF(F115&lt;=100,1,IF(F115&lt;=199,0,2)))) + IF(E115&lt;35,2,IF(E115&lt;=38.4,0,IF(E115&lt;=38.9,1,2))) + IF(M115="Alert",0,IF(M115="Voice",1,IF(M115="Pain",2,IF(M115="Unresponsive",3,0))))</f>
        <v>1</v>
      </c>
      <c r="O115">
        <f>IF(I115&lt;=8,3,IF(I115&lt;=11,1,IF(I115&lt;=20,0,IF(I115&lt;=24,2,3)))) + IF(J115&lt;=91,3,IF(J115&lt;=93,2,IF(J115&lt;=95,1,0))) + IF(K115=TRUE,2,0) + IF(F115&lt;=90,3,IF(F115&lt;=100,2,IF(F115&lt;=110,1,IF(F115&lt;=219,0,3)))) + IF(H115&lt;=40,3,IF(H115&lt;=50,1,IF(H115&lt;=90,0,IF(H115&lt;=110,1,IF(H115&lt;=130,2,3))))) + IF(E115&lt;=35,3,IF(E115&lt;=36,1,IF(E115&lt;=38,0,IF(E115&lt;=39,1,2)))) + IF(L115="Alert",0,3)</f>
        <v>0</v>
      </c>
    </row>
    <row r="116" spans="1:15" x14ac:dyDescent="0.3">
      <c r="A116">
        <v>16538055</v>
      </c>
      <c r="B116">
        <v>26680647</v>
      </c>
      <c r="C116" t="s">
        <v>17</v>
      </c>
      <c r="D116" s="8">
        <v>98.5</v>
      </c>
      <c r="E116" s="5">
        <v>36.9</v>
      </c>
      <c r="F116">
        <v>117</v>
      </c>
      <c r="G116">
        <v>77</v>
      </c>
      <c r="H116">
        <v>98</v>
      </c>
      <c r="I116">
        <v>22</v>
      </c>
      <c r="J116">
        <v>97</v>
      </c>
      <c r="K116" t="b">
        <v>0</v>
      </c>
      <c r="L116" t="s">
        <v>16</v>
      </c>
      <c r="M116" t="str">
        <f>IF(L116="Confusion", "Alert", L116)</f>
        <v>Alert</v>
      </c>
      <c r="N116">
        <f>IF(I116&lt;9,2,IF(I116&lt;=14,0,IF(I116&lt;=20,1,IF(I116&lt;=29,2,3)))) + IF(H116&lt;40,2,IF(H116&lt;=50,1,IF(H116&lt;=100,0,IF(H116&lt;=110,1,IF(H116&lt;=129,2,3))))) + IF(F116&lt;=70,3,IF(F116&lt;=80,2,IF(F116&lt;=100,1,IF(F116&lt;=199,0,2)))) + IF(E116&lt;35,2,IF(E116&lt;=38.4,0,IF(E116&lt;=38.9,1,2))) + IF(M116="Alert",0,IF(M116="Voice",1,IF(M116="Pain",2,IF(M116="Unresponsive",3,0))))</f>
        <v>2</v>
      </c>
      <c r="O116">
        <f>IF(I116&lt;=8,3,IF(I116&lt;=11,1,IF(I116&lt;=20,0,IF(I116&lt;=24,2,3)))) + IF(J116&lt;=91,3,IF(J116&lt;=93,2,IF(J116&lt;=95,1,0))) + IF(K116=TRUE,2,0) + IF(F116&lt;=90,3,IF(F116&lt;=100,2,IF(F116&lt;=110,1,IF(F116&lt;=219,0,3)))) + IF(H116&lt;=40,3,IF(H116&lt;=50,1,IF(H116&lt;=90,0,IF(H116&lt;=110,1,IF(H116&lt;=130,2,3))))) + IF(E116&lt;=35,3,IF(E116&lt;=36,1,IF(E116&lt;=38,0,IF(E116&lt;=39,1,2)))) + IF(L116="Alert",0,3)</f>
        <v>3</v>
      </c>
    </row>
    <row r="117" spans="1:15" x14ac:dyDescent="0.3">
      <c r="A117">
        <v>17601055</v>
      </c>
      <c r="B117">
        <v>28358467</v>
      </c>
      <c r="C117" t="s">
        <v>15</v>
      </c>
      <c r="D117" s="7">
        <v>96.7</v>
      </c>
      <c r="E117" s="4">
        <v>35.9</v>
      </c>
      <c r="F117" t="s">
        <v>23</v>
      </c>
      <c r="G117" t="s">
        <v>23</v>
      </c>
      <c r="H117">
        <v>80</v>
      </c>
      <c r="I117" t="s">
        <v>23</v>
      </c>
      <c r="J117">
        <v>98</v>
      </c>
      <c r="K117" t="b">
        <v>0</v>
      </c>
      <c r="L117" t="s">
        <v>16</v>
      </c>
      <c r="M117" t="str">
        <f>IF(L117="Confusion", "Alert", L117)</f>
        <v>Alert</v>
      </c>
      <c r="N117" t="s">
        <v>23</v>
      </c>
      <c r="O117" t="s">
        <v>23</v>
      </c>
    </row>
    <row r="118" spans="1:15" x14ac:dyDescent="0.3">
      <c r="A118">
        <v>10879330</v>
      </c>
      <c r="B118">
        <v>28412828</v>
      </c>
      <c r="C118" t="s">
        <v>15</v>
      </c>
      <c r="D118" s="8">
        <v>98.4</v>
      </c>
      <c r="E118" s="5">
        <v>36.9</v>
      </c>
      <c r="F118">
        <v>151</v>
      </c>
      <c r="G118">
        <v>74</v>
      </c>
      <c r="H118">
        <v>75</v>
      </c>
      <c r="I118">
        <v>16</v>
      </c>
      <c r="J118">
        <v>96</v>
      </c>
      <c r="K118" t="b">
        <v>0</v>
      </c>
      <c r="L118" t="s">
        <v>19</v>
      </c>
      <c r="M118" t="str">
        <f>IF(L118="Confusion", "Alert", L118)</f>
        <v>Alert</v>
      </c>
      <c r="N118">
        <f>IF(I118&lt;9,2,IF(I118&lt;=14,0,IF(I118&lt;=20,1,IF(I118&lt;=29,2,3)))) + IF(H118&lt;40,2,IF(H118&lt;=50,1,IF(H118&lt;=100,0,IF(H118&lt;=110,1,IF(H118&lt;=129,2,3))))) + IF(F118&lt;=70,3,IF(F118&lt;=80,2,IF(F118&lt;=100,1,IF(F118&lt;=199,0,2)))) + IF(E118&lt;35,2,IF(E118&lt;=38.4,0,IF(E118&lt;=38.9,1,2))) + IF(M118="Alert",0,IF(M118="Voice",1,IF(M118="Pain",2,IF(M118="Unresponsive",3,0))))</f>
        <v>1</v>
      </c>
      <c r="O118">
        <f>IF(I118&lt;=8,3,IF(I118&lt;=11,1,IF(I118&lt;=20,0,IF(I118&lt;=24,2,3)))) + IF(J118&lt;=91,3,IF(J118&lt;=93,2,IF(J118&lt;=95,1,0))) + IF(K118=TRUE,2,0) + IF(F118&lt;=90,3,IF(F118&lt;=100,2,IF(F118&lt;=110,1,IF(F118&lt;=219,0,3)))) + IF(H118&lt;=40,3,IF(H118&lt;=50,1,IF(H118&lt;=90,0,IF(H118&lt;=110,1,IF(H118&lt;=130,2,3))))) + IF(E118&lt;=35,3,IF(E118&lt;=36,1,IF(E118&lt;=38,0,IF(E118&lt;=39,1,2)))) + IF(L118="Alert",0,3)</f>
        <v>3</v>
      </c>
    </row>
    <row r="119" spans="1:15" x14ac:dyDescent="0.3">
      <c r="A119">
        <v>18155344</v>
      </c>
      <c r="B119">
        <v>25036456</v>
      </c>
      <c r="C119" t="s">
        <v>18</v>
      </c>
      <c r="D119" s="7" t="s">
        <v>23</v>
      </c>
      <c r="E119" s="4"/>
      <c r="F119" t="s">
        <v>23</v>
      </c>
      <c r="G119" t="s">
        <v>23</v>
      </c>
      <c r="H119" t="s">
        <v>23</v>
      </c>
      <c r="I119" t="s">
        <v>23</v>
      </c>
      <c r="J119" t="s">
        <v>23</v>
      </c>
      <c r="K119" t="s">
        <v>23</v>
      </c>
      <c r="L119" t="s">
        <v>19</v>
      </c>
      <c r="M119" t="str">
        <f>IF(L119="Confusion", "Alert", L119)</f>
        <v>Alert</v>
      </c>
      <c r="N119" t="s">
        <v>23</v>
      </c>
      <c r="O119" t="s">
        <v>23</v>
      </c>
    </row>
    <row r="120" spans="1:15" x14ac:dyDescent="0.3">
      <c r="A120">
        <v>13201136</v>
      </c>
      <c r="B120">
        <v>26993632</v>
      </c>
      <c r="C120" t="s">
        <v>18</v>
      </c>
      <c r="D120" s="8">
        <v>98.2</v>
      </c>
      <c r="E120" s="5">
        <v>36.799999999999997</v>
      </c>
      <c r="F120">
        <v>165</v>
      </c>
      <c r="G120">
        <v>82</v>
      </c>
      <c r="H120">
        <v>64</v>
      </c>
      <c r="I120">
        <v>18</v>
      </c>
      <c r="J120">
        <v>96</v>
      </c>
      <c r="K120" t="b">
        <v>0</v>
      </c>
      <c r="L120" t="s">
        <v>16</v>
      </c>
      <c r="M120" t="str">
        <f>IF(L120="Confusion", "Alert", L120)</f>
        <v>Alert</v>
      </c>
      <c r="N120">
        <f>IF(I120&lt;9,2,IF(I120&lt;=14,0,IF(I120&lt;=20,1,IF(I120&lt;=29,2,3)))) + IF(H120&lt;40,2,IF(H120&lt;=50,1,IF(H120&lt;=100,0,IF(H120&lt;=110,1,IF(H120&lt;=129,2,3))))) + IF(F120&lt;=70,3,IF(F120&lt;=80,2,IF(F120&lt;=100,1,IF(F120&lt;=199,0,2)))) + IF(E120&lt;35,2,IF(E120&lt;=38.4,0,IF(E120&lt;=38.9,1,2))) + IF(M120="Alert",0,IF(M120="Voice",1,IF(M120="Pain",2,IF(M120="Unresponsive",3,0))))</f>
        <v>1</v>
      </c>
      <c r="O120">
        <f>IF(I120&lt;=8,3,IF(I120&lt;=11,1,IF(I120&lt;=20,0,IF(I120&lt;=24,2,3)))) + IF(J120&lt;=91,3,IF(J120&lt;=93,2,IF(J120&lt;=95,1,0))) + IF(K120=TRUE,2,0) + IF(F120&lt;=90,3,IF(F120&lt;=100,2,IF(F120&lt;=110,1,IF(F120&lt;=219,0,3)))) + IF(H120&lt;=40,3,IF(H120&lt;=50,1,IF(H120&lt;=90,0,IF(H120&lt;=110,1,IF(H120&lt;=130,2,3))))) + IF(E120&lt;=35,3,IF(E120&lt;=36,1,IF(E120&lt;=38,0,IF(E120&lt;=39,1,2)))) + IF(L120="Alert",0,3)</f>
        <v>0</v>
      </c>
    </row>
    <row r="121" spans="1:15" x14ac:dyDescent="0.3">
      <c r="A121">
        <v>19830631</v>
      </c>
      <c r="B121">
        <v>28671373</v>
      </c>
      <c r="C121" t="s">
        <v>18</v>
      </c>
      <c r="D121" s="7">
        <v>97.7</v>
      </c>
      <c r="E121" s="4">
        <v>36.5</v>
      </c>
      <c r="F121">
        <v>119</v>
      </c>
      <c r="G121">
        <v>83</v>
      </c>
      <c r="H121">
        <v>63</v>
      </c>
      <c r="I121">
        <v>16</v>
      </c>
      <c r="J121">
        <v>100</v>
      </c>
      <c r="K121" t="b">
        <v>0</v>
      </c>
      <c r="L121" t="s">
        <v>16</v>
      </c>
      <c r="M121" t="str">
        <f>IF(L121="Confusion", "Alert", L121)</f>
        <v>Alert</v>
      </c>
      <c r="N121">
        <f>IF(I121&lt;9,2,IF(I121&lt;=14,0,IF(I121&lt;=20,1,IF(I121&lt;=29,2,3)))) + IF(H121&lt;40,2,IF(H121&lt;=50,1,IF(H121&lt;=100,0,IF(H121&lt;=110,1,IF(H121&lt;=129,2,3))))) + IF(F121&lt;=70,3,IF(F121&lt;=80,2,IF(F121&lt;=100,1,IF(F121&lt;=199,0,2)))) + IF(E121&lt;35,2,IF(E121&lt;=38.4,0,IF(E121&lt;=38.9,1,2))) + IF(M121="Alert",0,IF(M121="Voice",1,IF(M121="Pain",2,IF(M121="Unresponsive",3,0))))</f>
        <v>1</v>
      </c>
      <c r="O121">
        <f>IF(I121&lt;=8,3,IF(I121&lt;=11,1,IF(I121&lt;=20,0,IF(I121&lt;=24,2,3)))) + IF(J121&lt;=91,3,IF(J121&lt;=93,2,IF(J121&lt;=95,1,0))) + IF(K121=TRUE,2,0) + IF(F121&lt;=90,3,IF(F121&lt;=100,2,IF(F121&lt;=110,1,IF(F121&lt;=219,0,3)))) + IF(H121&lt;=40,3,IF(H121&lt;=50,1,IF(H121&lt;=90,0,IF(H121&lt;=110,1,IF(H121&lt;=130,2,3))))) + IF(E121&lt;=35,3,IF(E121&lt;=36,1,IF(E121&lt;=38,0,IF(E121&lt;=39,1,2)))) + IF(L121="Alert",0,3)</f>
        <v>0</v>
      </c>
    </row>
    <row r="122" spans="1:15" x14ac:dyDescent="0.3">
      <c r="A122">
        <v>17038950</v>
      </c>
      <c r="B122">
        <v>22761347</v>
      </c>
      <c r="C122" t="s">
        <v>18</v>
      </c>
      <c r="D122" s="8">
        <v>97.8</v>
      </c>
      <c r="E122" s="5">
        <v>36.6</v>
      </c>
      <c r="F122">
        <v>130</v>
      </c>
      <c r="G122">
        <v>83</v>
      </c>
      <c r="H122">
        <v>106</v>
      </c>
      <c r="I122">
        <v>20</v>
      </c>
      <c r="J122">
        <v>99</v>
      </c>
      <c r="K122" t="b">
        <v>1</v>
      </c>
      <c r="L122" t="s">
        <v>16</v>
      </c>
      <c r="M122" t="str">
        <f>IF(L122="Confusion", "Alert", L122)</f>
        <v>Alert</v>
      </c>
      <c r="N122">
        <f>IF(I122&lt;9,2,IF(I122&lt;=14,0,IF(I122&lt;=20,1,IF(I122&lt;=29,2,3)))) + IF(H122&lt;40,2,IF(H122&lt;=50,1,IF(H122&lt;=100,0,IF(H122&lt;=110,1,IF(H122&lt;=129,2,3))))) + IF(F122&lt;=70,3,IF(F122&lt;=80,2,IF(F122&lt;=100,1,IF(F122&lt;=199,0,2)))) + IF(E122&lt;35,2,IF(E122&lt;=38.4,0,IF(E122&lt;=38.9,1,2))) + IF(M122="Alert",0,IF(M122="Voice",1,IF(M122="Pain",2,IF(M122="Unresponsive",3,0))))</f>
        <v>2</v>
      </c>
      <c r="O122">
        <f>IF(I122&lt;=8,3,IF(I122&lt;=11,1,IF(I122&lt;=20,0,IF(I122&lt;=24,2,3)))) + IF(J122&lt;=91,3,IF(J122&lt;=93,2,IF(J122&lt;=95,1,0))) + IF(K122=TRUE,2,0) + IF(F122&lt;=90,3,IF(F122&lt;=100,2,IF(F122&lt;=110,1,IF(F122&lt;=219,0,3)))) + IF(H122&lt;=40,3,IF(H122&lt;=50,1,IF(H122&lt;=90,0,IF(H122&lt;=110,1,IF(H122&lt;=130,2,3))))) + IF(E122&lt;=35,3,IF(E122&lt;=36,1,IF(E122&lt;=38,0,IF(E122&lt;=39,1,2)))) + IF(L122="Alert",0,3)</f>
        <v>3</v>
      </c>
    </row>
    <row r="123" spans="1:15" x14ac:dyDescent="0.3">
      <c r="A123">
        <v>15888360</v>
      </c>
      <c r="B123">
        <v>21436033</v>
      </c>
      <c r="C123" t="s">
        <v>18</v>
      </c>
      <c r="D123" s="8">
        <v>98.3</v>
      </c>
      <c r="E123" s="5">
        <v>36.799999999999997</v>
      </c>
      <c r="F123">
        <v>124</v>
      </c>
      <c r="G123">
        <v>88</v>
      </c>
      <c r="H123">
        <v>83</v>
      </c>
      <c r="I123">
        <v>18</v>
      </c>
      <c r="J123">
        <v>97</v>
      </c>
      <c r="K123" t="b">
        <v>0</v>
      </c>
      <c r="L123" t="s">
        <v>16</v>
      </c>
      <c r="M123" t="str">
        <f>IF(L123="Confusion", "Alert", L123)</f>
        <v>Alert</v>
      </c>
      <c r="N123">
        <f>IF(I123&lt;9,2,IF(I123&lt;=14,0,IF(I123&lt;=20,1,IF(I123&lt;=29,2,3)))) + IF(H123&lt;40,2,IF(H123&lt;=50,1,IF(H123&lt;=100,0,IF(H123&lt;=110,1,IF(H123&lt;=129,2,3))))) + IF(F123&lt;=70,3,IF(F123&lt;=80,2,IF(F123&lt;=100,1,IF(F123&lt;=199,0,2)))) + IF(E123&lt;35,2,IF(E123&lt;=38.4,0,IF(E123&lt;=38.9,1,2))) + IF(M123="Alert",0,IF(M123="Voice",1,IF(M123="Pain",2,IF(M123="Unresponsive",3,0))))</f>
        <v>1</v>
      </c>
      <c r="O123">
        <f>IF(I123&lt;=8,3,IF(I123&lt;=11,1,IF(I123&lt;=20,0,IF(I123&lt;=24,2,3)))) + IF(J123&lt;=91,3,IF(J123&lt;=93,2,IF(J123&lt;=95,1,0))) + IF(K123=TRUE,2,0) + IF(F123&lt;=90,3,IF(F123&lt;=100,2,IF(F123&lt;=110,1,IF(F123&lt;=219,0,3)))) + IF(H123&lt;=40,3,IF(H123&lt;=50,1,IF(H123&lt;=90,0,IF(H123&lt;=110,1,IF(H123&lt;=130,2,3))))) + IF(E123&lt;=35,3,IF(E123&lt;=36,1,IF(E123&lt;=38,0,IF(E123&lt;=39,1,2)))) + IF(L123="Alert",0,3)</f>
        <v>0</v>
      </c>
    </row>
    <row r="124" spans="1:15" x14ac:dyDescent="0.3">
      <c r="A124">
        <v>11277253</v>
      </c>
      <c r="B124">
        <v>22245382</v>
      </c>
      <c r="C124" t="s">
        <v>18</v>
      </c>
      <c r="D124" s="7">
        <v>98.3</v>
      </c>
      <c r="E124" s="4">
        <v>36.799999999999997</v>
      </c>
      <c r="F124">
        <v>120</v>
      </c>
      <c r="G124">
        <v>80</v>
      </c>
      <c r="H124">
        <v>75</v>
      </c>
      <c r="I124">
        <v>16</v>
      </c>
      <c r="J124">
        <v>93</v>
      </c>
      <c r="K124" t="b">
        <v>0</v>
      </c>
      <c r="L124" t="s">
        <v>16</v>
      </c>
      <c r="M124" t="str">
        <f>IF(L124="Confusion", "Alert", L124)</f>
        <v>Alert</v>
      </c>
      <c r="N124">
        <f>IF(I124&lt;9,2,IF(I124&lt;=14,0,IF(I124&lt;=20,1,IF(I124&lt;=29,2,3)))) + IF(H124&lt;40,2,IF(H124&lt;=50,1,IF(H124&lt;=100,0,IF(H124&lt;=110,1,IF(H124&lt;=129,2,3))))) + IF(F124&lt;=70,3,IF(F124&lt;=80,2,IF(F124&lt;=100,1,IF(F124&lt;=199,0,2)))) + IF(E124&lt;35,2,IF(E124&lt;=38.4,0,IF(E124&lt;=38.9,1,2))) + IF(M124="Alert",0,IF(M124="Voice",1,IF(M124="Pain",2,IF(M124="Unresponsive",3,0))))</f>
        <v>1</v>
      </c>
      <c r="O124">
        <f>IF(I124&lt;=8,3,IF(I124&lt;=11,1,IF(I124&lt;=20,0,IF(I124&lt;=24,2,3)))) + IF(J124&lt;=91,3,IF(J124&lt;=93,2,IF(J124&lt;=95,1,0))) + IF(K124=TRUE,2,0) + IF(F124&lt;=90,3,IF(F124&lt;=100,2,IF(F124&lt;=110,1,IF(F124&lt;=219,0,3)))) + IF(H124&lt;=40,3,IF(H124&lt;=50,1,IF(H124&lt;=90,0,IF(H124&lt;=110,1,IF(H124&lt;=130,2,3))))) + IF(E124&lt;=35,3,IF(E124&lt;=36,1,IF(E124&lt;=38,0,IF(E124&lt;=39,1,2)))) + IF(L124="Alert",0,3)</f>
        <v>2</v>
      </c>
    </row>
    <row r="125" spans="1:15" x14ac:dyDescent="0.3">
      <c r="A125">
        <v>16056381</v>
      </c>
      <c r="B125">
        <v>20290460</v>
      </c>
      <c r="C125" t="s">
        <v>18</v>
      </c>
      <c r="D125" s="8">
        <v>98.2</v>
      </c>
      <c r="E125" s="5">
        <v>36.799999999999997</v>
      </c>
      <c r="F125">
        <v>84</v>
      </c>
      <c r="G125">
        <v>160</v>
      </c>
      <c r="H125">
        <v>64</v>
      </c>
      <c r="I125">
        <v>18</v>
      </c>
      <c r="J125">
        <v>99</v>
      </c>
      <c r="K125" t="b">
        <v>0</v>
      </c>
      <c r="L125" t="s">
        <v>16</v>
      </c>
      <c r="M125" t="str">
        <f>IF(L125="Confusion", "Alert", L125)</f>
        <v>Alert</v>
      </c>
      <c r="N125">
        <f>IF(I125&lt;9,2,IF(I125&lt;=14,0,IF(I125&lt;=20,1,IF(I125&lt;=29,2,3)))) + IF(H125&lt;40,2,IF(H125&lt;=50,1,IF(H125&lt;=100,0,IF(H125&lt;=110,1,IF(H125&lt;=129,2,3))))) + IF(F125&lt;=70,3,IF(F125&lt;=80,2,IF(F125&lt;=100,1,IF(F125&lt;=199,0,2)))) + IF(E125&lt;35,2,IF(E125&lt;=38.4,0,IF(E125&lt;=38.9,1,2))) + IF(M125="Alert",0,IF(M125="Voice",1,IF(M125="Pain",2,IF(M125="Unresponsive",3,0))))</f>
        <v>2</v>
      </c>
      <c r="O125">
        <f>IF(I125&lt;=8,3,IF(I125&lt;=11,1,IF(I125&lt;=20,0,IF(I125&lt;=24,2,3)))) + IF(J125&lt;=91,3,IF(J125&lt;=93,2,IF(J125&lt;=95,1,0))) + IF(K125=TRUE,2,0) + IF(F125&lt;=90,3,IF(F125&lt;=100,2,IF(F125&lt;=110,1,IF(F125&lt;=219,0,3)))) + IF(H125&lt;=40,3,IF(H125&lt;=50,1,IF(H125&lt;=90,0,IF(H125&lt;=110,1,IF(H125&lt;=130,2,3))))) + IF(E125&lt;=35,3,IF(E125&lt;=36,1,IF(E125&lt;=38,0,IF(E125&lt;=39,1,2)))) + IF(L125="Alert",0,3)</f>
        <v>3</v>
      </c>
    </row>
    <row r="126" spans="1:15" x14ac:dyDescent="0.3">
      <c r="A126">
        <v>12101085</v>
      </c>
      <c r="B126">
        <v>20768113</v>
      </c>
      <c r="C126" t="s">
        <v>18</v>
      </c>
      <c r="D126" s="7">
        <v>100</v>
      </c>
      <c r="E126" s="4">
        <v>37.799999999999997</v>
      </c>
      <c r="F126">
        <v>126</v>
      </c>
      <c r="G126">
        <v>71</v>
      </c>
      <c r="H126">
        <v>87</v>
      </c>
      <c r="I126">
        <v>20</v>
      </c>
      <c r="J126">
        <v>99</v>
      </c>
      <c r="K126" t="b">
        <v>0</v>
      </c>
      <c r="L126" t="s">
        <v>16</v>
      </c>
      <c r="M126" t="str">
        <f>IF(L126="Confusion", "Alert", L126)</f>
        <v>Alert</v>
      </c>
      <c r="N126">
        <f>IF(I126&lt;9,2,IF(I126&lt;=14,0,IF(I126&lt;=20,1,IF(I126&lt;=29,2,3)))) + IF(H126&lt;40,2,IF(H126&lt;=50,1,IF(H126&lt;=100,0,IF(H126&lt;=110,1,IF(H126&lt;=129,2,3))))) + IF(F126&lt;=70,3,IF(F126&lt;=80,2,IF(F126&lt;=100,1,IF(F126&lt;=199,0,2)))) + IF(E126&lt;35,2,IF(E126&lt;=38.4,0,IF(E126&lt;=38.9,1,2))) + IF(M126="Alert",0,IF(M126="Voice",1,IF(M126="Pain",2,IF(M126="Unresponsive",3,0))))</f>
        <v>1</v>
      </c>
      <c r="O126">
        <f>IF(I126&lt;=8,3,IF(I126&lt;=11,1,IF(I126&lt;=20,0,IF(I126&lt;=24,2,3)))) + IF(J126&lt;=91,3,IF(J126&lt;=93,2,IF(J126&lt;=95,1,0))) + IF(K126=TRUE,2,0) + IF(F126&lt;=90,3,IF(F126&lt;=100,2,IF(F126&lt;=110,1,IF(F126&lt;=219,0,3)))) + IF(H126&lt;=40,3,IF(H126&lt;=50,1,IF(H126&lt;=90,0,IF(H126&lt;=110,1,IF(H126&lt;=130,2,3))))) + IF(E126&lt;=35,3,IF(E126&lt;=36,1,IF(E126&lt;=38,0,IF(E126&lt;=39,1,2)))) + IF(L126="Alert",0,3)</f>
        <v>0</v>
      </c>
    </row>
    <row r="127" spans="1:15" x14ac:dyDescent="0.3">
      <c r="A127">
        <v>18514982</v>
      </c>
      <c r="B127">
        <v>29240516</v>
      </c>
      <c r="C127" t="s">
        <v>18</v>
      </c>
      <c r="D127" s="8">
        <v>98.8</v>
      </c>
      <c r="E127" s="5">
        <v>37.1</v>
      </c>
      <c r="F127">
        <v>109</v>
      </c>
      <c r="G127">
        <v>57</v>
      </c>
      <c r="H127">
        <v>66</v>
      </c>
      <c r="I127">
        <v>16</v>
      </c>
      <c r="J127">
        <v>93</v>
      </c>
      <c r="K127" t="b">
        <v>1</v>
      </c>
      <c r="L127" t="s">
        <v>16</v>
      </c>
      <c r="M127" t="str">
        <f>IF(L127="Confusion", "Alert", L127)</f>
        <v>Alert</v>
      </c>
      <c r="N127">
        <f>IF(I127&lt;9,2,IF(I127&lt;=14,0,IF(I127&lt;=20,1,IF(I127&lt;=29,2,3)))) + IF(H127&lt;40,2,IF(H127&lt;=50,1,IF(H127&lt;=100,0,IF(H127&lt;=110,1,IF(H127&lt;=129,2,3))))) + IF(F127&lt;=70,3,IF(F127&lt;=80,2,IF(F127&lt;=100,1,IF(F127&lt;=199,0,2)))) + IF(E127&lt;35,2,IF(E127&lt;=38.4,0,IF(E127&lt;=38.9,1,2))) + IF(M127="Alert",0,IF(M127="Voice",1,IF(M127="Pain",2,IF(M127="Unresponsive",3,0))))</f>
        <v>1</v>
      </c>
      <c r="O127">
        <f>IF(I127&lt;=8,3,IF(I127&lt;=11,1,IF(I127&lt;=20,0,IF(I127&lt;=24,2,3)))) + IF(J127&lt;=91,3,IF(J127&lt;=93,2,IF(J127&lt;=95,1,0))) + IF(K127=TRUE,2,0) + IF(F127&lt;=90,3,IF(F127&lt;=100,2,IF(F127&lt;=110,1,IF(F127&lt;=219,0,3)))) + IF(H127&lt;=40,3,IF(H127&lt;=50,1,IF(H127&lt;=90,0,IF(H127&lt;=110,1,IF(H127&lt;=130,2,3))))) + IF(E127&lt;=35,3,IF(E127&lt;=36,1,IF(E127&lt;=38,0,IF(E127&lt;=39,1,2)))) + IF(L127="Alert",0,3)</f>
        <v>5</v>
      </c>
    </row>
    <row r="128" spans="1:15" x14ac:dyDescent="0.3">
      <c r="A128">
        <v>16834131</v>
      </c>
      <c r="B128">
        <v>28235569</v>
      </c>
      <c r="C128" t="s">
        <v>18</v>
      </c>
      <c r="D128" s="7">
        <v>103</v>
      </c>
      <c r="E128" s="4">
        <v>39.4</v>
      </c>
      <c r="F128">
        <v>139</v>
      </c>
      <c r="G128">
        <v>97</v>
      </c>
      <c r="H128">
        <v>107</v>
      </c>
      <c r="I128">
        <v>18</v>
      </c>
      <c r="J128">
        <v>100</v>
      </c>
      <c r="K128" t="b">
        <v>1</v>
      </c>
      <c r="L128" t="s">
        <v>20</v>
      </c>
      <c r="M128" t="str">
        <f>IF(L128="Confusion", "Alert", L128)</f>
        <v>Unresponsive</v>
      </c>
      <c r="N128">
        <f>IF(I128&lt;9,2,IF(I128&lt;=14,0,IF(I128&lt;=20,1,IF(I128&lt;=29,2,3)))) + IF(H128&lt;40,2,IF(H128&lt;=50,1,IF(H128&lt;=100,0,IF(H128&lt;=110,1,IF(H128&lt;=129,2,3))))) + IF(F128&lt;=70,3,IF(F128&lt;=80,2,IF(F128&lt;=100,1,IF(F128&lt;=199,0,2)))) + IF(E128&lt;35,2,IF(E128&lt;=38.4,0,IF(E128&lt;=38.9,1,2))) + IF(M128="Alert",0,IF(M128="Voice",1,IF(M128="Pain",2,IF(M128="Unresponsive",3,0))))</f>
        <v>7</v>
      </c>
      <c r="O128">
        <f>IF(I128&lt;=8,3,IF(I128&lt;=11,1,IF(I128&lt;=20,0,IF(I128&lt;=24,2,3)))) + IF(J128&lt;=91,3,IF(J128&lt;=93,2,IF(J128&lt;=95,1,0))) + IF(K128=TRUE,2,0) + IF(F128&lt;=90,3,IF(F128&lt;=100,2,IF(F128&lt;=110,1,IF(F128&lt;=219,0,3)))) + IF(H128&lt;=40,3,IF(H128&lt;=50,1,IF(H128&lt;=90,0,IF(H128&lt;=110,1,IF(H128&lt;=130,2,3))))) + IF(E128&lt;=35,3,IF(E128&lt;=36,1,IF(E128&lt;=38,0,IF(E128&lt;=39,1,2)))) + IF(L128="Alert",0,3)</f>
        <v>8</v>
      </c>
    </row>
    <row r="129" spans="1:15" x14ac:dyDescent="0.3">
      <c r="A129">
        <v>10532466</v>
      </c>
      <c r="B129">
        <v>26825602</v>
      </c>
      <c r="C129" t="s">
        <v>18</v>
      </c>
      <c r="D129" s="8">
        <v>97.9</v>
      </c>
      <c r="E129" s="5">
        <v>36.6</v>
      </c>
      <c r="F129">
        <v>115</v>
      </c>
      <c r="G129">
        <v>81</v>
      </c>
      <c r="H129">
        <v>114</v>
      </c>
      <c r="I129">
        <v>25</v>
      </c>
      <c r="J129">
        <v>99</v>
      </c>
      <c r="K129" t="b">
        <v>1</v>
      </c>
      <c r="L129" t="s">
        <v>16</v>
      </c>
      <c r="M129" t="str">
        <f>IF(L129="Confusion", "Alert", L129)</f>
        <v>Alert</v>
      </c>
      <c r="N129">
        <f>IF(I129&lt;9,2,IF(I129&lt;=14,0,IF(I129&lt;=20,1,IF(I129&lt;=29,2,3)))) + IF(H129&lt;40,2,IF(H129&lt;=50,1,IF(H129&lt;=100,0,IF(H129&lt;=110,1,IF(H129&lt;=129,2,3))))) + IF(F129&lt;=70,3,IF(F129&lt;=80,2,IF(F129&lt;=100,1,IF(F129&lt;=199,0,2)))) + IF(E129&lt;35,2,IF(E129&lt;=38.4,0,IF(E129&lt;=38.9,1,2))) + IF(M129="Alert",0,IF(M129="Voice",1,IF(M129="Pain",2,IF(M129="Unresponsive",3,0))))</f>
        <v>4</v>
      </c>
      <c r="O129">
        <f>IF(I129&lt;=8,3,IF(I129&lt;=11,1,IF(I129&lt;=20,0,IF(I129&lt;=24,2,3)))) + IF(J129&lt;=91,3,IF(J129&lt;=93,2,IF(J129&lt;=95,1,0))) + IF(K129=TRUE,2,0) + IF(F129&lt;=90,3,IF(F129&lt;=100,2,IF(F129&lt;=110,1,IF(F129&lt;=219,0,3)))) + IF(H129&lt;=40,3,IF(H129&lt;=50,1,IF(H129&lt;=90,0,IF(H129&lt;=110,1,IF(H129&lt;=130,2,3))))) + IF(E129&lt;=35,3,IF(E129&lt;=36,1,IF(E129&lt;=38,0,IF(E129&lt;=39,1,2)))) + IF(L129="Alert",0,3)</f>
        <v>7</v>
      </c>
    </row>
    <row r="130" spans="1:15" x14ac:dyDescent="0.3">
      <c r="A130">
        <v>11648170</v>
      </c>
      <c r="B130">
        <v>22659541</v>
      </c>
      <c r="C130" t="s">
        <v>18</v>
      </c>
      <c r="D130" s="8">
        <v>98.1</v>
      </c>
      <c r="E130" s="5">
        <v>36.700000000000003</v>
      </c>
      <c r="F130">
        <v>127</v>
      </c>
      <c r="G130">
        <v>66</v>
      </c>
      <c r="H130">
        <v>92</v>
      </c>
      <c r="I130">
        <v>20</v>
      </c>
      <c r="J130">
        <v>97</v>
      </c>
      <c r="K130" t="b">
        <v>0</v>
      </c>
      <c r="L130" t="s">
        <v>16</v>
      </c>
      <c r="M130" t="str">
        <f>IF(L130="Confusion", "Alert", L130)</f>
        <v>Alert</v>
      </c>
      <c r="N130">
        <f>IF(I130&lt;9,2,IF(I130&lt;=14,0,IF(I130&lt;=20,1,IF(I130&lt;=29,2,3)))) + IF(H130&lt;40,2,IF(H130&lt;=50,1,IF(H130&lt;=100,0,IF(H130&lt;=110,1,IF(H130&lt;=129,2,3))))) + IF(F130&lt;=70,3,IF(F130&lt;=80,2,IF(F130&lt;=100,1,IF(F130&lt;=199,0,2)))) + IF(E130&lt;35,2,IF(E130&lt;=38.4,0,IF(E130&lt;=38.9,1,2))) + IF(M130="Alert",0,IF(M130="Voice",1,IF(M130="Pain",2,IF(M130="Unresponsive",3,0))))</f>
        <v>1</v>
      </c>
      <c r="O130">
        <f>IF(I130&lt;=8,3,IF(I130&lt;=11,1,IF(I130&lt;=20,0,IF(I130&lt;=24,2,3)))) + IF(J130&lt;=91,3,IF(J130&lt;=93,2,IF(J130&lt;=95,1,0))) + IF(K130=TRUE,2,0) + IF(F130&lt;=90,3,IF(F130&lt;=100,2,IF(F130&lt;=110,1,IF(F130&lt;=219,0,3)))) + IF(H130&lt;=40,3,IF(H130&lt;=50,1,IF(H130&lt;=90,0,IF(H130&lt;=110,1,IF(H130&lt;=130,2,3))))) + IF(E130&lt;=35,3,IF(E130&lt;=36,1,IF(E130&lt;=38,0,IF(E130&lt;=39,1,2)))) + IF(L130="Alert",0,3)</f>
        <v>1</v>
      </c>
    </row>
    <row r="131" spans="1:15" x14ac:dyDescent="0.3">
      <c r="A131">
        <v>18625115</v>
      </c>
      <c r="B131">
        <v>20449847</v>
      </c>
      <c r="C131" t="s">
        <v>18</v>
      </c>
      <c r="D131" s="7">
        <v>98.2</v>
      </c>
      <c r="E131" s="4">
        <v>36.799999999999997</v>
      </c>
      <c r="F131">
        <v>116</v>
      </c>
      <c r="G131">
        <v>79</v>
      </c>
      <c r="H131">
        <v>98</v>
      </c>
      <c r="I131">
        <v>16</v>
      </c>
      <c r="J131">
        <v>99</v>
      </c>
      <c r="K131" t="b">
        <v>0</v>
      </c>
      <c r="L131" t="s">
        <v>16</v>
      </c>
      <c r="M131" t="str">
        <f>IF(L131="Confusion", "Alert", L131)</f>
        <v>Alert</v>
      </c>
      <c r="N131">
        <f>IF(I131&lt;9,2,IF(I131&lt;=14,0,IF(I131&lt;=20,1,IF(I131&lt;=29,2,3)))) + IF(H131&lt;40,2,IF(H131&lt;=50,1,IF(H131&lt;=100,0,IF(H131&lt;=110,1,IF(H131&lt;=129,2,3))))) + IF(F131&lt;=70,3,IF(F131&lt;=80,2,IF(F131&lt;=100,1,IF(F131&lt;=199,0,2)))) + IF(E131&lt;35,2,IF(E131&lt;=38.4,0,IF(E131&lt;=38.9,1,2))) + IF(M131="Alert",0,IF(M131="Voice",1,IF(M131="Pain",2,IF(M131="Unresponsive",3,0))))</f>
        <v>1</v>
      </c>
      <c r="O131">
        <f>IF(I131&lt;=8,3,IF(I131&lt;=11,1,IF(I131&lt;=20,0,IF(I131&lt;=24,2,3)))) + IF(J131&lt;=91,3,IF(J131&lt;=93,2,IF(J131&lt;=95,1,0))) + IF(K131=TRUE,2,0) + IF(F131&lt;=90,3,IF(F131&lt;=100,2,IF(F131&lt;=110,1,IF(F131&lt;=219,0,3)))) + IF(H131&lt;=40,3,IF(H131&lt;=50,1,IF(H131&lt;=90,0,IF(H131&lt;=110,1,IF(H131&lt;=130,2,3))))) + IF(E131&lt;=35,3,IF(E131&lt;=36,1,IF(E131&lt;=38,0,IF(E131&lt;=39,1,2)))) + IF(L131="Alert",0,3)</f>
        <v>1</v>
      </c>
    </row>
    <row r="132" spans="1:15" x14ac:dyDescent="0.3">
      <c r="A132">
        <v>18171919</v>
      </c>
      <c r="B132">
        <v>21382811</v>
      </c>
      <c r="C132" t="s">
        <v>18</v>
      </c>
      <c r="D132" s="8">
        <v>100.3</v>
      </c>
      <c r="E132" s="5">
        <v>37.9</v>
      </c>
      <c r="F132">
        <v>180</v>
      </c>
      <c r="G132">
        <v>100</v>
      </c>
      <c r="H132">
        <v>84</v>
      </c>
      <c r="I132">
        <v>18</v>
      </c>
      <c r="J132">
        <v>100</v>
      </c>
      <c r="K132" t="b">
        <v>0</v>
      </c>
      <c r="L132" t="s">
        <v>16</v>
      </c>
      <c r="M132" t="str">
        <f>IF(L132="Confusion", "Alert", L132)</f>
        <v>Alert</v>
      </c>
      <c r="N132">
        <f>IF(I132&lt;9,2,IF(I132&lt;=14,0,IF(I132&lt;=20,1,IF(I132&lt;=29,2,3)))) + IF(H132&lt;40,2,IF(H132&lt;=50,1,IF(H132&lt;=100,0,IF(H132&lt;=110,1,IF(H132&lt;=129,2,3))))) + IF(F132&lt;=70,3,IF(F132&lt;=80,2,IF(F132&lt;=100,1,IF(F132&lt;=199,0,2)))) + IF(E132&lt;35,2,IF(E132&lt;=38.4,0,IF(E132&lt;=38.9,1,2))) + IF(M132="Alert",0,IF(M132="Voice",1,IF(M132="Pain",2,IF(M132="Unresponsive",3,0))))</f>
        <v>1</v>
      </c>
      <c r="O132">
        <f>IF(I132&lt;=8,3,IF(I132&lt;=11,1,IF(I132&lt;=20,0,IF(I132&lt;=24,2,3)))) + IF(J132&lt;=91,3,IF(J132&lt;=93,2,IF(J132&lt;=95,1,0))) + IF(K132=TRUE,2,0) + IF(F132&lt;=90,3,IF(F132&lt;=100,2,IF(F132&lt;=110,1,IF(F132&lt;=219,0,3)))) + IF(H132&lt;=40,3,IF(H132&lt;=50,1,IF(H132&lt;=90,0,IF(H132&lt;=110,1,IF(H132&lt;=130,2,3))))) + IF(E132&lt;=35,3,IF(E132&lt;=36,1,IF(E132&lt;=38,0,IF(E132&lt;=39,1,2)))) + IF(L132="Alert",0,3)</f>
        <v>0</v>
      </c>
    </row>
    <row r="133" spans="1:15" x14ac:dyDescent="0.3">
      <c r="A133">
        <v>17225573</v>
      </c>
      <c r="B133">
        <v>23259628</v>
      </c>
      <c r="C133" t="s">
        <v>18</v>
      </c>
      <c r="D133" s="7">
        <v>98</v>
      </c>
      <c r="E133" s="4">
        <v>36.700000000000003</v>
      </c>
      <c r="F133">
        <v>102</v>
      </c>
      <c r="G133">
        <v>76</v>
      </c>
      <c r="H133">
        <v>74</v>
      </c>
      <c r="I133">
        <v>16</v>
      </c>
      <c r="J133">
        <v>99</v>
      </c>
      <c r="K133" t="b">
        <v>0</v>
      </c>
      <c r="L133" t="s">
        <v>16</v>
      </c>
      <c r="M133" t="str">
        <f>IF(L133="Confusion", "Alert", L133)</f>
        <v>Alert</v>
      </c>
      <c r="N133">
        <f>IF(I133&lt;9,2,IF(I133&lt;=14,0,IF(I133&lt;=20,1,IF(I133&lt;=29,2,3)))) + IF(H133&lt;40,2,IF(H133&lt;=50,1,IF(H133&lt;=100,0,IF(H133&lt;=110,1,IF(H133&lt;=129,2,3))))) + IF(F133&lt;=70,3,IF(F133&lt;=80,2,IF(F133&lt;=100,1,IF(F133&lt;=199,0,2)))) + IF(E133&lt;35,2,IF(E133&lt;=38.4,0,IF(E133&lt;=38.9,1,2))) + IF(M133="Alert",0,IF(M133="Voice",1,IF(M133="Pain",2,IF(M133="Unresponsive",3,0))))</f>
        <v>1</v>
      </c>
      <c r="O133">
        <f>IF(I133&lt;=8,3,IF(I133&lt;=11,1,IF(I133&lt;=20,0,IF(I133&lt;=24,2,3)))) + IF(J133&lt;=91,3,IF(J133&lt;=93,2,IF(J133&lt;=95,1,0))) + IF(K133=TRUE,2,0) + IF(F133&lt;=90,3,IF(F133&lt;=100,2,IF(F133&lt;=110,1,IF(F133&lt;=219,0,3)))) + IF(H133&lt;=40,3,IF(H133&lt;=50,1,IF(H133&lt;=90,0,IF(H133&lt;=110,1,IF(H133&lt;=130,2,3))))) + IF(E133&lt;=35,3,IF(E133&lt;=36,1,IF(E133&lt;=38,0,IF(E133&lt;=39,1,2)))) + IF(L133="Alert",0,3)</f>
        <v>1</v>
      </c>
    </row>
    <row r="134" spans="1:15" x14ac:dyDescent="0.3">
      <c r="A134">
        <v>12795315</v>
      </c>
      <c r="B134">
        <v>25905974</v>
      </c>
      <c r="C134" t="s">
        <v>18</v>
      </c>
      <c r="D134" s="8">
        <v>98.2</v>
      </c>
      <c r="E134" s="5">
        <v>36.799999999999997</v>
      </c>
      <c r="F134">
        <v>142</v>
      </c>
      <c r="G134">
        <v>85</v>
      </c>
      <c r="H134">
        <v>67</v>
      </c>
      <c r="I134">
        <v>18</v>
      </c>
      <c r="J134">
        <v>100</v>
      </c>
      <c r="K134" t="b">
        <v>0</v>
      </c>
      <c r="L134" t="s">
        <v>16</v>
      </c>
      <c r="M134" t="str">
        <f>IF(L134="Confusion", "Alert", L134)</f>
        <v>Alert</v>
      </c>
      <c r="N134">
        <f>IF(I134&lt;9,2,IF(I134&lt;=14,0,IF(I134&lt;=20,1,IF(I134&lt;=29,2,3)))) + IF(H134&lt;40,2,IF(H134&lt;=50,1,IF(H134&lt;=100,0,IF(H134&lt;=110,1,IF(H134&lt;=129,2,3))))) + IF(F134&lt;=70,3,IF(F134&lt;=80,2,IF(F134&lt;=100,1,IF(F134&lt;=199,0,2)))) + IF(E134&lt;35,2,IF(E134&lt;=38.4,0,IF(E134&lt;=38.9,1,2))) + IF(M134="Alert",0,IF(M134="Voice",1,IF(M134="Pain",2,IF(M134="Unresponsive",3,0))))</f>
        <v>1</v>
      </c>
      <c r="O134">
        <f>IF(I134&lt;=8,3,IF(I134&lt;=11,1,IF(I134&lt;=20,0,IF(I134&lt;=24,2,3)))) + IF(J134&lt;=91,3,IF(J134&lt;=93,2,IF(J134&lt;=95,1,0))) + IF(K134=TRUE,2,0) + IF(F134&lt;=90,3,IF(F134&lt;=100,2,IF(F134&lt;=110,1,IF(F134&lt;=219,0,3)))) + IF(H134&lt;=40,3,IF(H134&lt;=50,1,IF(H134&lt;=90,0,IF(H134&lt;=110,1,IF(H134&lt;=130,2,3))))) + IF(E134&lt;=35,3,IF(E134&lt;=36,1,IF(E134&lt;=38,0,IF(E134&lt;=39,1,2)))) + IF(L134="Alert",0,3)</f>
        <v>0</v>
      </c>
    </row>
    <row r="135" spans="1:15" x14ac:dyDescent="0.3">
      <c r="A135">
        <v>19837632</v>
      </c>
      <c r="B135">
        <v>21556883</v>
      </c>
      <c r="C135" t="s">
        <v>18</v>
      </c>
      <c r="D135" s="7">
        <v>99.7</v>
      </c>
      <c r="E135" s="4">
        <v>37.6</v>
      </c>
      <c r="F135">
        <v>148</v>
      </c>
      <c r="G135">
        <v>66</v>
      </c>
      <c r="H135">
        <v>121</v>
      </c>
      <c r="I135">
        <v>18</v>
      </c>
      <c r="J135">
        <v>100</v>
      </c>
      <c r="K135" t="b">
        <v>0</v>
      </c>
      <c r="L135" t="s">
        <v>16</v>
      </c>
      <c r="M135" t="str">
        <f>IF(L135="Confusion", "Alert", L135)</f>
        <v>Alert</v>
      </c>
      <c r="N135">
        <f>IF(I135&lt;9,2,IF(I135&lt;=14,0,IF(I135&lt;=20,1,IF(I135&lt;=29,2,3)))) + IF(H135&lt;40,2,IF(H135&lt;=50,1,IF(H135&lt;=100,0,IF(H135&lt;=110,1,IF(H135&lt;=129,2,3))))) + IF(F135&lt;=70,3,IF(F135&lt;=80,2,IF(F135&lt;=100,1,IF(F135&lt;=199,0,2)))) + IF(E135&lt;35,2,IF(E135&lt;=38.4,0,IF(E135&lt;=38.9,1,2))) + IF(M135="Alert",0,IF(M135="Voice",1,IF(M135="Pain",2,IF(M135="Unresponsive",3,0))))</f>
        <v>3</v>
      </c>
      <c r="O135">
        <f>IF(I135&lt;=8,3,IF(I135&lt;=11,1,IF(I135&lt;=20,0,IF(I135&lt;=24,2,3)))) + IF(J135&lt;=91,3,IF(J135&lt;=93,2,IF(J135&lt;=95,1,0))) + IF(K135=TRUE,2,0) + IF(F135&lt;=90,3,IF(F135&lt;=100,2,IF(F135&lt;=110,1,IF(F135&lt;=219,0,3)))) + IF(H135&lt;=40,3,IF(H135&lt;=50,1,IF(H135&lt;=90,0,IF(H135&lt;=110,1,IF(H135&lt;=130,2,3))))) + IF(E135&lt;=35,3,IF(E135&lt;=36,1,IF(E135&lt;=38,0,IF(E135&lt;=39,1,2)))) + IF(L135="Alert",0,3)</f>
        <v>2</v>
      </c>
    </row>
    <row r="136" spans="1:15" x14ac:dyDescent="0.3">
      <c r="A136">
        <v>17189198</v>
      </c>
      <c r="B136">
        <v>28462942</v>
      </c>
      <c r="C136" t="s">
        <v>18</v>
      </c>
      <c r="D136" s="8">
        <v>98.4</v>
      </c>
      <c r="E136" s="5">
        <v>36.9</v>
      </c>
      <c r="F136">
        <v>124</v>
      </c>
      <c r="G136">
        <v>56</v>
      </c>
      <c r="H136">
        <v>80</v>
      </c>
      <c r="I136">
        <v>18</v>
      </c>
      <c r="J136">
        <v>98</v>
      </c>
      <c r="K136" t="b">
        <v>1</v>
      </c>
      <c r="L136" t="s">
        <v>19</v>
      </c>
      <c r="M136" t="str">
        <f>IF(L136="Confusion", "Alert", L136)</f>
        <v>Alert</v>
      </c>
      <c r="N136">
        <f>IF(I136&lt;9,2,IF(I136&lt;=14,0,IF(I136&lt;=20,1,IF(I136&lt;=29,2,3)))) + IF(H136&lt;40,2,IF(H136&lt;=50,1,IF(H136&lt;=100,0,IF(H136&lt;=110,1,IF(H136&lt;=129,2,3))))) + IF(F136&lt;=70,3,IF(F136&lt;=80,2,IF(F136&lt;=100,1,IF(F136&lt;=199,0,2)))) + IF(E136&lt;35,2,IF(E136&lt;=38.4,0,IF(E136&lt;=38.9,1,2))) + IF(M136="Alert",0,IF(M136="Voice",1,IF(M136="Pain",2,IF(M136="Unresponsive",3,0))))</f>
        <v>1</v>
      </c>
      <c r="O136">
        <f>IF(I136&lt;=8,3,IF(I136&lt;=11,1,IF(I136&lt;=20,0,IF(I136&lt;=24,2,3)))) + IF(J136&lt;=91,3,IF(J136&lt;=93,2,IF(J136&lt;=95,1,0))) + IF(K136=TRUE,2,0) + IF(F136&lt;=90,3,IF(F136&lt;=100,2,IF(F136&lt;=110,1,IF(F136&lt;=219,0,3)))) + IF(H136&lt;=40,3,IF(H136&lt;=50,1,IF(H136&lt;=90,0,IF(H136&lt;=110,1,IF(H136&lt;=130,2,3))))) + IF(E136&lt;=35,3,IF(E136&lt;=36,1,IF(E136&lt;=38,0,IF(E136&lt;=39,1,2)))) + IF(L136="Alert",0,3)</f>
        <v>5</v>
      </c>
    </row>
    <row r="137" spans="1:15" x14ac:dyDescent="0.3">
      <c r="A137">
        <v>18143216</v>
      </c>
      <c r="B137">
        <v>25559565</v>
      </c>
      <c r="C137" t="s">
        <v>17</v>
      </c>
      <c r="D137" s="7">
        <v>98.1</v>
      </c>
      <c r="E137" s="4">
        <v>36.700000000000003</v>
      </c>
      <c r="F137">
        <v>161</v>
      </c>
      <c r="G137">
        <v>60</v>
      </c>
      <c r="H137">
        <v>73</v>
      </c>
      <c r="I137">
        <v>18</v>
      </c>
      <c r="J137">
        <v>98</v>
      </c>
      <c r="K137" t="b">
        <v>0</v>
      </c>
      <c r="L137" t="s">
        <v>16</v>
      </c>
      <c r="M137" t="str">
        <f>IF(L137="Confusion", "Alert", L137)</f>
        <v>Alert</v>
      </c>
      <c r="N137">
        <f>IF(I137&lt;9,2,IF(I137&lt;=14,0,IF(I137&lt;=20,1,IF(I137&lt;=29,2,3)))) + IF(H137&lt;40,2,IF(H137&lt;=50,1,IF(H137&lt;=100,0,IF(H137&lt;=110,1,IF(H137&lt;=129,2,3))))) + IF(F137&lt;=70,3,IF(F137&lt;=80,2,IF(F137&lt;=100,1,IF(F137&lt;=199,0,2)))) + IF(E137&lt;35,2,IF(E137&lt;=38.4,0,IF(E137&lt;=38.9,1,2))) + IF(M137="Alert",0,IF(M137="Voice",1,IF(M137="Pain",2,IF(M137="Unresponsive",3,0))))</f>
        <v>1</v>
      </c>
      <c r="O137">
        <f>IF(I137&lt;=8,3,IF(I137&lt;=11,1,IF(I137&lt;=20,0,IF(I137&lt;=24,2,3)))) + IF(J137&lt;=91,3,IF(J137&lt;=93,2,IF(J137&lt;=95,1,0))) + IF(K137=TRUE,2,0) + IF(F137&lt;=90,3,IF(F137&lt;=100,2,IF(F137&lt;=110,1,IF(F137&lt;=219,0,3)))) + IF(H137&lt;=40,3,IF(H137&lt;=50,1,IF(H137&lt;=90,0,IF(H137&lt;=110,1,IF(H137&lt;=130,2,3))))) + IF(E137&lt;=35,3,IF(E137&lt;=36,1,IF(E137&lt;=38,0,IF(E137&lt;=39,1,2)))) + IF(L137="Alert",0,3)</f>
        <v>0</v>
      </c>
    </row>
    <row r="138" spans="1:15" x14ac:dyDescent="0.3">
      <c r="A138">
        <v>13194187</v>
      </c>
      <c r="B138">
        <v>24552876</v>
      </c>
      <c r="C138" t="s">
        <v>17</v>
      </c>
      <c r="D138" s="8">
        <v>97</v>
      </c>
      <c r="E138" s="5">
        <v>36.1</v>
      </c>
      <c r="F138">
        <v>139</v>
      </c>
      <c r="G138">
        <v>88</v>
      </c>
      <c r="H138">
        <v>82</v>
      </c>
      <c r="I138">
        <v>16</v>
      </c>
      <c r="J138">
        <v>100</v>
      </c>
      <c r="K138" t="b">
        <v>0</v>
      </c>
      <c r="L138" t="s">
        <v>16</v>
      </c>
      <c r="M138" t="str">
        <f>IF(L138="Confusion", "Alert", L138)</f>
        <v>Alert</v>
      </c>
      <c r="N138">
        <f>IF(I138&lt;9,2,IF(I138&lt;=14,0,IF(I138&lt;=20,1,IF(I138&lt;=29,2,3)))) + IF(H138&lt;40,2,IF(H138&lt;=50,1,IF(H138&lt;=100,0,IF(H138&lt;=110,1,IF(H138&lt;=129,2,3))))) + IF(F138&lt;=70,3,IF(F138&lt;=80,2,IF(F138&lt;=100,1,IF(F138&lt;=199,0,2)))) + IF(E138&lt;35,2,IF(E138&lt;=38.4,0,IF(E138&lt;=38.9,1,2))) + IF(M138="Alert",0,IF(M138="Voice",1,IF(M138="Pain",2,IF(M138="Unresponsive",3,0))))</f>
        <v>1</v>
      </c>
      <c r="O138">
        <f>IF(I138&lt;=8,3,IF(I138&lt;=11,1,IF(I138&lt;=20,0,IF(I138&lt;=24,2,3)))) + IF(J138&lt;=91,3,IF(J138&lt;=93,2,IF(J138&lt;=95,1,0))) + IF(K138=TRUE,2,0) + IF(F138&lt;=90,3,IF(F138&lt;=100,2,IF(F138&lt;=110,1,IF(F138&lt;=219,0,3)))) + IF(H138&lt;=40,3,IF(H138&lt;=50,1,IF(H138&lt;=90,0,IF(H138&lt;=110,1,IF(H138&lt;=130,2,3))))) + IF(E138&lt;=35,3,IF(E138&lt;=36,1,IF(E138&lt;=38,0,IF(E138&lt;=39,1,2)))) + IF(L138="Alert",0,3)</f>
        <v>0</v>
      </c>
    </row>
    <row r="139" spans="1:15" x14ac:dyDescent="0.3">
      <c r="A139">
        <v>17955886</v>
      </c>
      <c r="B139">
        <v>29830958</v>
      </c>
      <c r="C139" t="s">
        <v>17</v>
      </c>
      <c r="D139" s="8">
        <v>97.8</v>
      </c>
      <c r="E139" s="5">
        <v>36.6</v>
      </c>
      <c r="F139">
        <v>135</v>
      </c>
      <c r="G139">
        <v>81</v>
      </c>
      <c r="H139">
        <v>82</v>
      </c>
      <c r="I139">
        <v>21</v>
      </c>
      <c r="J139">
        <v>97</v>
      </c>
      <c r="K139" t="b">
        <v>0</v>
      </c>
      <c r="L139" t="s">
        <v>16</v>
      </c>
      <c r="M139" t="str">
        <f>IF(L139="Confusion", "Alert", L139)</f>
        <v>Alert</v>
      </c>
      <c r="N139">
        <f>IF(I139&lt;9,2,IF(I139&lt;=14,0,IF(I139&lt;=20,1,IF(I139&lt;=29,2,3)))) + IF(H139&lt;40,2,IF(H139&lt;=50,1,IF(H139&lt;=100,0,IF(H139&lt;=110,1,IF(H139&lt;=129,2,3))))) + IF(F139&lt;=70,3,IF(F139&lt;=80,2,IF(F139&lt;=100,1,IF(F139&lt;=199,0,2)))) + IF(E139&lt;35,2,IF(E139&lt;=38.4,0,IF(E139&lt;=38.9,1,2))) + IF(M139="Alert",0,IF(M139="Voice",1,IF(M139="Pain",2,IF(M139="Unresponsive",3,0))))</f>
        <v>2</v>
      </c>
      <c r="O139">
        <f>IF(I139&lt;=8,3,IF(I139&lt;=11,1,IF(I139&lt;=20,0,IF(I139&lt;=24,2,3)))) + IF(J139&lt;=91,3,IF(J139&lt;=93,2,IF(J139&lt;=95,1,0))) + IF(K139=TRUE,2,0) + IF(F139&lt;=90,3,IF(F139&lt;=100,2,IF(F139&lt;=110,1,IF(F139&lt;=219,0,3)))) + IF(H139&lt;=40,3,IF(H139&lt;=50,1,IF(H139&lt;=90,0,IF(H139&lt;=110,1,IF(H139&lt;=130,2,3))))) + IF(E139&lt;=35,3,IF(E139&lt;=36,1,IF(E139&lt;=38,0,IF(E139&lt;=39,1,2)))) + IF(L139="Alert",0,3)</f>
        <v>2</v>
      </c>
    </row>
    <row r="140" spans="1:15" x14ac:dyDescent="0.3">
      <c r="A140">
        <v>15881835</v>
      </c>
      <c r="B140">
        <v>21613579</v>
      </c>
      <c r="C140" t="s">
        <v>17</v>
      </c>
      <c r="D140" s="7">
        <v>100.4</v>
      </c>
      <c r="E140" s="4">
        <v>38</v>
      </c>
      <c r="F140">
        <v>130</v>
      </c>
      <c r="G140">
        <v>87</v>
      </c>
      <c r="H140">
        <v>120</v>
      </c>
      <c r="I140">
        <v>24</v>
      </c>
      <c r="J140">
        <v>94</v>
      </c>
      <c r="K140" t="b">
        <v>1</v>
      </c>
      <c r="L140" t="s">
        <v>16</v>
      </c>
      <c r="M140" t="str">
        <f>IF(L140="Confusion", "Alert", L140)</f>
        <v>Alert</v>
      </c>
      <c r="N140">
        <f>IF(I140&lt;9,2,IF(I140&lt;=14,0,IF(I140&lt;=20,1,IF(I140&lt;=29,2,3)))) + IF(H140&lt;40,2,IF(H140&lt;=50,1,IF(H140&lt;=100,0,IF(H140&lt;=110,1,IF(H140&lt;=129,2,3))))) + IF(F140&lt;=70,3,IF(F140&lt;=80,2,IF(F140&lt;=100,1,IF(F140&lt;=199,0,2)))) + IF(E140&lt;35,2,IF(E140&lt;=38.4,0,IF(E140&lt;=38.9,1,2))) + IF(M140="Alert",0,IF(M140="Voice",1,IF(M140="Pain",2,IF(M140="Unresponsive",3,0))))</f>
        <v>4</v>
      </c>
      <c r="O140">
        <f>IF(I140&lt;=8,3,IF(I140&lt;=11,1,IF(I140&lt;=20,0,IF(I140&lt;=24,2,3)))) + IF(J140&lt;=91,3,IF(J140&lt;=93,2,IF(J140&lt;=95,1,0))) + IF(K140=TRUE,2,0) + IF(F140&lt;=90,3,IF(F140&lt;=100,2,IF(F140&lt;=110,1,IF(F140&lt;=219,0,3)))) + IF(H140&lt;=40,3,IF(H140&lt;=50,1,IF(H140&lt;=90,0,IF(H140&lt;=110,1,IF(H140&lt;=130,2,3))))) + IF(E140&lt;=35,3,IF(E140&lt;=36,1,IF(E140&lt;=38,0,IF(E140&lt;=39,1,2)))) + IF(L140="Alert",0,3)</f>
        <v>7</v>
      </c>
    </row>
    <row r="141" spans="1:15" x14ac:dyDescent="0.3">
      <c r="A141">
        <v>12101085</v>
      </c>
      <c r="B141">
        <v>24383538</v>
      </c>
      <c r="C141" t="s">
        <v>17</v>
      </c>
      <c r="D141" s="8">
        <v>98.2</v>
      </c>
      <c r="E141" s="5">
        <v>36.799999999999997</v>
      </c>
      <c r="F141">
        <v>116</v>
      </c>
      <c r="G141">
        <v>44</v>
      </c>
      <c r="H141">
        <v>68</v>
      </c>
      <c r="I141">
        <v>18</v>
      </c>
      <c r="J141">
        <v>100</v>
      </c>
      <c r="K141" t="b">
        <v>0</v>
      </c>
      <c r="L141" t="s">
        <v>16</v>
      </c>
      <c r="M141" t="str">
        <f>IF(L141="Confusion", "Alert", L141)</f>
        <v>Alert</v>
      </c>
      <c r="N141">
        <f>IF(I141&lt;9,2,IF(I141&lt;=14,0,IF(I141&lt;=20,1,IF(I141&lt;=29,2,3)))) + IF(H141&lt;40,2,IF(H141&lt;=50,1,IF(H141&lt;=100,0,IF(H141&lt;=110,1,IF(H141&lt;=129,2,3))))) + IF(F141&lt;=70,3,IF(F141&lt;=80,2,IF(F141&lt;=100,1,IF(F141&lt;=199,0,2)))) + IF(E141&lt;35,2,IF(E141&lt;=38.4,0,IF(E141&lt;=38.9,1,2))) + IF(M141="Alert",0,IF(M141="Voice",1,IF(M141="Pain",2,IF(M141="Unresponsive",3,0))))</f>
        <v>1</v>
      </c>
      <c r="O141">
        <f>IF(I141&lt;=8,3,IF(I141&lt;=11,1,IF(I141&lt;=20,0,IF(I141&lt;=24,2,3)))) + IF(J141&lt;=91,3,IF(J141&lt;=93,2,IF(J141&lt;=95,1,0))) + IF(K141=TRUE,2,0) + IF(F141&lt;=90,3,IF(F141&lt;=100,2,IF(F141&lt;=110,1,IF(F141&lt;=219,0,3)))) + IF(H141&lt;=40,3,IF(H141&lt;=50,1,IF(H141&lt;=90,0,IF(H141&lt;=110,1,IF(H141&lt;=130,2,3))))) + IF(E141&lt;=35,3,IF(E141&lt;=36,1,IF(E141&lt;=38,0,IF(E141&lt;=39,1,2)))) + IF(L141="Alert",0,3)</f>
        <v>0</v>
      </c>
    </row>
    <row r="142" spans="1:15" x14ac:dyDescent="0.3">
      <c r="A142">
        <v>18500776</v>
      </c>
      <c r="B142">
        <v>27028712</v>
      </c>
      <c r="C142" t="s">
        <v>17</v>
      </c>
      <c r="D142" s="7">
        <v>99.6</v>
      </c>
      <c r="E142" s="4">
        <v>37.6</v>
      </c>
      <c r="F142">
        <v>116</v>
      </c>
      <c r="G142">
        <v>69</v>
      </c>
      <c r="H142">
        <v>108</v>
      </c>
      <c r="I142">
        <v>16</v>
      </c>
      <c r="J142">
        <v>100</v>
      </c>
      <c r="K142" t="b">
        <v>0</v>
      </c>
      <c r="L142" t="s">
        <v>20</v>
      </c>
      <c r="M142" t="str">
        <f>IF(L142="Confusion", "Alert", L142)</f>
        <v>Unresponsive</v>
      </c>
      <c r="N142">
        <f>IF(I142&lt;9,2,IF(I142&lt;=14,0,IF(I142&lt;=20,1,IF(I142&lt;=29,2,3)))) + IF(H142&lt;40,2,IF(H142&lt;=50,1,IF(H142&lt;=100,0,IF(H142&lt;=110,1,IF(H142&lt;=129,2,3))))) + IF(F142&lt;=70,3,IF(F142&lt;=80,2,IF(F142&lt;=100,1,IF(F142&lt;=199,0,2)))) + IF(E142&lt;35,2,IF(E142&lt;=38.4,0,IF(E142&lt;=38.9,1,2))) + IF(M142="Alert",0,IF(M142="Voice",1,IF(M142="Pain",2,IF(M142="Unresponsive",3,0))))</f>
        <v>5</v>
      </c>
      <c r="O142">
        <f>IF(I142&lt;=8,3,IF(I142&lt;=11,1,IF(I142&lt;=20,0,IF(I142&lt;=24,2,3)))) + IF(J142&lt;=91,3,IF(J142&lt;=93,2,IF(J142&lt;=95,1,0))) + IF(K142=TRUE,2,0) + IF(F142&lt;=90,3,IF(F142&lt;=100,2,IF(F142&lt;=110,1,IF(F142&lt;=219,0,3)))) + IF(H142&lt;=40,3,IF(H142&lt;=50,1,IF(H142&lt;=90,0,IF(H142&lt;=110,1,IF(H142&lt;=130,2,3))))) + IF(E142&lt;=35,3,IF(E142&lt;=36,1,IF(E142&lt;=38,0,IF(E142&lt;=39,1,2)))) + IF(L142="Alert",0,3)</f>
        <v>4</v>
      </c>
    </row>
    <row r="143" spans="1:15" x14ac:dyDescent="0.3">
      <c r="A143">
        <v>15446655</v>
      </c>
      <c r="B143">
        <v>25850101</v>
      </c>
      <c r="C143" t="s">
        <v>17</v>
      </c>
      <c r="D143" s="8">
        <v>98</v>
      </c>
      <c r="E143" s="5">
        <v>36.700000000000003</v>
      </c>
      <c r="F143">
        <v>154</v>
      </c>
      <c r="G143">
        <v>95</v>
      </c>
      <c r="H143">
        <v>119</v>
      </c>
      <c r="I143">
        <v>20</v>
      </c>
      <c r="J143">
        <v>95</v>
      </c>
      <c r="K143" t="b">
        <v>1</v>
      </c>
      <c r="L143" t="s">
        <v>16</v>
      </c>
      <c r="M143" t="str">
        <f>IF(L143="Confusion", "Alert", L143)</f>
        <v>Alert</v>
      </c>
      <c r="N143">
        <f>IF(I143&lt;9,2,IF(I143&lt;=14,0,IF(I143&lt;=20,1,IF(I143&lt;=29,2,3)))) + IF(H143&lt;40,2,IF(H143&lt;=50,1,IF(H143&lt;=100,0,IF(H143&lt;=110,1,IF(H143&lt;=129,2,3))))) + IF(F143&lt;=70,3,IF(F143&lt;=80,2,IF(F143&lt;=100,1,IF(F143&lt;=199,0,2)))) + IF(E143&lt;35,2,IF(E143&lt;=38.4,0,IF(E143&lt;=38.9,1,2))) + IF(M143="Alert",0,IF(M143="Voice",1,IF(M143="Pain",2,IF(M143="Unresponsive",3,0))))</f>
        <v>3</v>
      </c>
      <c r="O143">
        <f>IF(I143&lt;=8,3,IF(I143&lt;=11,1,IF(I143&lt;=20,0,IF(I143&lt;=24,2,3)))) + IF(J143&lt;=91,3,IF(J143&lt;=93,2,IF(J143&lt;=95,1,0))) + IF(K143=TRUE,2,0) + IF(F143&lt;=90,3,IF(F143&lt;=100,2,IF(F143&lt;=110,1,IF(F143&lt;=219,0,3)))) + IF(H143&lt;=40,3,IF(H143&lt;=50,1,IF(H143&lt;=90,0,IF(H143&lt;=110,1,IF(H143&lt;=130,2,3))))) + IF(E143&lt;=35,3,IF(E143&lt;=36,1,IF(E143&lt;=38,0,IF(E143&lt;=39,1,2)))) + IF(L143="Alert",0,3)</f>
        <v>5</v>
      </c>
    </row>
    <row r="144" spans="1:15" x14ac:dyDescent="0.3">
      <c r="A144">
        <v>15753793</v>
      </c>
      <c r="B144">
        <v>21436965</v>
      </c>
      <c r="C144" t="s">
        <v>17</v>
      </c>
      <c r="D144" s="8">
        <v>98.7</v>
      </c>
      <c r="E144" s="5">
        <v>37.1</v>
      </c>
      <c r="F144">
        <v>140</v>
      </c>
      <c r="G144">
        <v>67</v>
      </c>
      <c r="H144">
        <v>110</v>
      </c>
      <c r="I144">
        <v>16</v>
      </c>
      <c r="J144">
        <v>97</v>
      </c>
      <c r="K144" t="b">
        <v>1</v>
      </c>
      <c r="L144" t="s">
        <v>20</v>
      </c>
      <c r="M144" t="str">
        <f>IF(L144="Confusion", "Alert", L144)</f>
        <v>Unresponsive</v>
      </c>
      <c r="N144">
        <f>IF(I144&lt;9,2,IF(I144&lt;=14,0,IF(I144&lt;=20,1,IF(I144&lt;=29,2,3)))) + IF(H144&lt;40,2,IF(H144&lt;=50,1,IF(H144&lt;=100,0,IF(H144&lt;=110,1,IF(H144&lt;=129,2,3))))) + IF(F144&lt;=70,3,IF(F144&lt;=80,2,IF(F144&lt;=100,1,IF(F144&lt;=199,0,2)))) + IF(E144&lt;35,2,IF(E144&lt;=38.4,0,IF(E144&lt;=38.9,1,2))) + IF(M144="Alert",0,IF(M144="Voice",1,IF(M144="Pain",2,IF(M144="Unresponsive",3,0))))</f>
        <v>5</v>
      </c>
      <c r="O144">
        <f>IF(I144&lt;=8,3,IF(I144&lt;=11,1,IF(I144&lt;=20,0,IF(I144&lt;=24,2,3)))) + IF(J144&lt;=91,3,IF(J144&lt;=93,2,IF(J144&lt;=95,1,0))) + IF(K144=TRUE,2,0) + IF(F144&lt;=90,3,IF(F144&lt;=100,2,IF(F144&lt;=110,1,IF(F144&lt;=219,0,3)))) + IF(H144&lt;=40,3,IF(H144&lt;=50,1,IF(H144&lt;=90,0,IF(H144&lt;=110,1,IF(H144&lt;=130,2,3))))) + IF(E144&lt;=35,3,IF(E144&lt;=36,1,IF(E144&lt;=38,0,IF(E144&lt;=39,1,2)))) + IF(L144="Alert",0,3)</f>
        <v>6</v>
      </c>
    </row>
    <row r="145" spans="1:15" x14ac:dyDescent="0.3">
      <c r="A145">
        <v>11276090</v>
      </c>
      <c r="B145">
        <v>25987495</v>
      </c>
      <c r="C145" t="s">
        <v>15</v>
      </c>
      <c r="D145" s="8">
        <v>98.5</v>
      </c>
      <c r="E145" s="5">
        <v>36.9</v>
      </c>
      <c r="F145">
        <v>145</v>
      </c>
      <c r="G145">
        <v>76</v>
      </c>
      <c r="H145">
        <v>75</v>
      </c>
      <c r="I145">
        <v>16</v>
      </c>
      <c r="J145">
        <v>99</v>
      </c>
      <c r="K145" t="b">
        <v>0</v>
      </c>
      <c r="L145" t="s">
        <v>16</v>
      </c>
      <c r="M145" t="str">
        <f>IF(L145="Confusion", "Alert", L145)</f>
        <v>Alert</v>
      </c>
      <c r="N145">
        <f>IF(I145&lt;9,2,IF(I145&lt;=14,0,IF(I145&lt;=20,1,IF(I145&lt;=29,2,3)))) + IF(H145&lt;40,2,IF(H145&lt;=50,1,IF(H145&lt;=100,0,IF(H145&lt;=110,1,IF(H145&lt;=129,2,3))))) + IF(F145&lt;=70,3,IF(F145&lt;=80,2,IF(F145&lt;=100,1,IF(F145&lt;=199,0,2)))) + IF(E145&lt;35,2,IF(E145&lt;=38.4,0,IF(E145&lt;=38.9,1,2))) + IF(M145="Alert",0,IF(M145="Voice",1,IF(M145="Pain",2,IF(M145="Unresponsive",3,0))))</f>
        <v>1</v>
      </c>
      <c r="O145">
        <f>IF(I145&lt;=8,3,IF(I145&lt;=11,1,IF(I145&lt;=20,0,IF(I145&lt;=24,2,3)))) + IF(J145&lt;=91,3,IF(J145&lt;=93,2,IF(J145&lt;=95,1,0))) + IF(K145=TRUE,2,0) + IF(F145&lt;=90,3,IF(F145&lt;=100,2,IF(F145&lt;=110,1,IF(F145&lt;=219,0,3)))) + IF(H145&lt;=40,3,IF(H145&lt;=50,1,IF(H145&lt;=90,0,IF(H145&lt;=110,1,IF(H145&lt;=130,2,3))))) + IF(E145&lt;=35,3,IF(E145&lt;=36,1,IF(E145&lt;=38,0,IF(E145&lt;=39,1,2)))) + IF(L145="Alert",0,3)</f>
        <v>0</v>
      </c>
    </row>
    <row r="146" spans="1:15" x14ac:dyDescent="0.3">
      <c r="A146">
        <v>16059753</v>
      </c>
      <c r="B146">
        <v>26482489</v>
      </c>
      <c r="C146" t="s">
        <v>15</v>
      </c>
      <c r="D146" s="7">
        <v>98.8</v>
      </c>
      <c r="E146" s="4">
        <v>37.1</v>
      </c>
      <c r="F146">
        <v>109</v>
      </c>
      <c r="G146">
        <v>98</v>
      </c>
      <c r="H146" t="s">
        <v>23</v>
      </c>
      <c r="I146">
        <v>16</v>
      </c>
      <c r="J146">
        <v>99</v>
      </c>
      <c r="K146" t="b">
        <v>0</v>
      </c>
      <c r="L146" t="s">
        <v>16</v>
      </c>
      <c r="M146" t="str">
        <f>IF(L146="Confusion", "Alert", L146)</f>
        <v>Alert</v>
      </c>
      <c r="N146" t="s">
        <v>23</v>
      </c>
      <c r="O146" t="s">
        <v>23</v>
      </c>
    </row>
    <row r="147" spans="1:15" x14ac:dyDescent="0.3">
      <c r="A147">
        <v>19315003</v>
      </c>
      <c r="B147">
        <v>25669314</v>
      </c>
      <c r="C147" t="s">
        <v>15</v>
      </c>
      <c r="D147" s="7">
        <v>98.7</v>
      </c>
      <c r="E147" s="4">
        <v>37.1</v>
      </c>
      <c r="F147">
        <v>118</v>
      </c>
      <c r="G147">
        <v>74</v>
      </c>
      <c r="H147">
        <v>97</v>
      </c>
      <c r="I147">
        <v>18</v>
      </c>
      <c r="J147">
        <v>98</v>
      </c>
      <c r="K147" t="b">
        <v>0</v>
      </c>
      <c r="L147" t="s">
        <v>16</v>
      </c>
      <c r="M147" t="str">
        <f>IF(L147="Confusion", "Alert", L147)</f>
        <v>Alert</v>
      </c>
      <c r="N147">
        <f>IF(I147&lt;9,2,IF(I147&lt;=14,0,IF(I147&lt;=20,1,IF(I147&lt;=29,2,3)))) + IF(H147&lt;40,2,IF(H147&lt;=50,1,IF(H147&lt;=100,0,IF(H147&lt;=110,1,IF(H147&lt;=129,2,3))))) + IF(F147&lt;=70,3,IF(F147&lt;=80,2,IF(F147&lt;=100,1,IF(F147&lt;=199,0,2)))) + IF(E147&lt;35,2,IF(E147&lt;=38.4,0,IF(E147&lt;=38.9,1,2))) + IF(M147="Alert",0,IF(M147="Voice",1,IF(M147="Pain",2,IF(M147="Unresponsive",3,0))))</f>
        <v>1</v>
      </c>
      <c r="O147">
        <f>IF(I147&lt;=8,3,IF(I147&lt;=11,1,IF(I147&lt;=20,0,IF(I147&lt;=24,2,3)))) + IF(J147&lt;=91,3,IF(J147&lt;=93,2,IF(J147&lt;=95,1,0))) + IF(K147=TRUE,2,0) + IF(F147&lt;=90,3,IF(F147&lt;=100,2,IF(F147&lt;=110,1,IF(F147&lt;=219,0,3)))) + IF(H147&lt;=40,3,IF(H147&lt;=50,1,IF(H147&lt;=90,0,IF(H147&lt;=110,1,IF(H147&lt;=130,2,3))))) + IF(E147&lt;=35,3,IF(E147&lt;=36,1,IF(E147&lt;=38,0,IF(E147&lt;=39,1,2)))) + IF(L147="Alert",0,3)</f>
        <v>1</v>
      </c>
    </row>
    <row r="148" spans="1:15" x14ac:dyDescent="0.3">
      <c r="A148">
        <v>18491974</v>
      </c>
      <c r="B148">
        <v>27740201</v>
      </c>
      <c r="C148" t="s">
        <v>15</v>
      </c>
      <c r="D148" s="8">
        <v>97.7</v>
      </c>
      <c r="E148" s="5">
        <v>36.5</v>
      </c>
      <c r="F148">
        <v>127</v>
      </c>
      <c r="G148">
        <v>63</v>
      </c>
      <c r="H148">
        <v>78</v>
      </c>
      <c r="I148">
        <v>16</v>
      </c>
      <c r="J148">
        <v>100</v>
      </c>
      <c r="K148" t="b">
        <v>1</v>
      </c>
      <c r="L148" t="s">
        <v>22</v>
      </c>
      <c r="M148" t="str">
        <f>IF(L148="Confusion", "Alert", L148)</f>
        <v>Voice</v>
      </c>
      <c r="N148">
        <f>IF(I148&lt;9,2,IF(I148&lt;=14,0,IF(I148&lt;=20,1,IF(I148&lt;=29,2,3)))) + IF(H148&lt;40,2,IF(H148&lt;=50,1,IF(H148&lt;=100,0,IF(H148&lt;=110,1,IF(H148&lt;=129,2,3))))) + IF(F148&lt;=70,3,IF(F148&lt;=80,2,IF(F148&lt;=100,1,IF(F148&lt;=199,0,2)))) + IF(E148&lt;35,2,IF(E148&lt;=38.4,0,IF(E148&lt;=38.9,1,2))) + IF(M148="Alert",0,IF(M148="Voice",1,IF(M148="Pain",2,IF(M148="Unresponsive",3,0))))</f>
        <v>2</v>
      </c>
      <c r="O148">
        <f>IF(I148&lt;=8,3,IF(I148&lt;=11,1,IF(I148&lt;=20,0,IF(I148&lt;=24,2,3)))) + IF(J148&lt;=91,3,IF(J148&lt;=93,2,IF(J148&lt;=95,1,0))) + IF(K148=TRUE,2,0) + IF(F148&lt;=90,3,IF(F148&lt;=100,2,IF(F148&lt;=110,1,IF(F148&lt;=219,0,3)))) + IF(H148&lt;=40,3,IF(H148&lt;=50,1,IF(H148&lt;=90,0,IF(H148&lt;=110,1,IF(H148&lt;=130,2,3))))) + IF(E148&lt;=35,3,IF(E148&lt;=36,1,IF(E148&lt;=38,0,IF(E148&lt;=39,1,2)))) + IF(L148="Alert",0,3)</f>
        <v>5</v>
      </c>
    </row>
    <row r="149" spans="1:15" x14ac:dyDescent="0.3">
      <c r="A149">
        <v>16810846</v>
      </c>
      <c r="B149">
        <v>23833366</v>
      </c>
      <c r="C149" t="s">
        <v>15</v>
      </c>
      <c r="D149" s="7">
        <v>97.9</v>
      </c>
      <c r="E149" s="4">
        <v>36.6</v>
      </c>
      <c r="F149">
        <v>145</v>
      </c>
      <c r="G149">
        <v>85</v>
      </c>
      <c r="H149">
        <v>74</v>
      </c>
      <c r="I149">
        <v>16</v>
      </c>
      <c r="J149">
        <v>99</v>
      </c>
      <c r="K149" t="b">
        <v>0</v>
      </c>
      <c r="L149" t="s">
        <v>16</v>
      </c>
      <c r="M149" t="str">
        <f>IF(L149="Confusion", "Alert", L149)</f>
        <v>Alert</v>
      </c>
      <c r="N149">
        <f>IF(I149&lt;9,2,IF(I149&lt;=14,0,IF(I149&lt;=20,1,IF(I149&lt;=29,2,3)))) + IF(H149&lt;40,2,IF(H149&lt;=50,1,IF(H149&lt;=100,0,IF(H149&lt;=110,1,IF(H149&lt;=129,2,3))))) + IF(F149&lt;=70,3,IF(F149&lt;=80,2,IF(F149&lt;=100,1,IF(F149&lt;=199,0,2)))) + IF(E149&lt;35,2,IF(E149&lt;=38.4,0,IF(E149&lt;=38.9,1,2))) + IF(M149="Alert",0,IF(M149="Voice",1,IF(M149="Pain",2,IF(M149="Unresponsive",3,0))))</f>
        <v>1</v>
      </c>
      <c r="O149">
        <f>IF(I149&lt;=8,3,IF(I149&lt;=11,1,IF(I149&lt;=20,0,IF(I149&lt;=24,2,3)))) + IF(J149&lt;=91,3,IF(J149&lt;=93,2,IF(J149&lt;=95,1,0))) + IF(K149=TRUE,2,0) + IF(F149&lt;=90,3,IF(F149&lt;=100,2,IF(F149&lt;=110,1,IF(F149&lt;=219,0,3)))) + IF(H149&lt;=40,3,IF(H149&lt;=50,1,IF(H149&lt;=90,0,IF(H149&lt;=110,1,IF(H149&lt;=130,2,3))))) + IF(E149&lt;=35,3,IF(E149&lt;=36,1,IF(E149&lt;=38,0,IF(E149&lt;=39,1,2)))) + IF(L149="Alert",0,3)</f>
        <v>0</v>
      </c>
    </row>
    <row r="150" spans="1:15" x14ac:dyDescent="0.3">
      <c r="A150">
        <v>10716785</v>
      </c>
      <c r="B150">
        <v>22240986</v>
      </c>
      <c r="C150" t="s">
        <v>15</v>
      </c>
      <c r="D150" s="8">
        <v>98.6</v>
      </c>
      <c r="E150" s="5">
        <v>37</v>
      </c>
      <c r="F150">
        <v>90</v>
      </c>
      <c r="G150">
        <v>58</v>
      </c>
      <c r="H150">
        <v>67</v>
      </c>
      <c r="I150">
        <v>18</v>
      </c>
      <c r="J150">
        <v>100</v>
      </c>
      <c r="K150" t="b">
        <v>0</v>
      </c>
      <c r="L150" t="s">
        <v>16</v>
      </c>
      <c r="M150" t="str">
        <f>IF(L150="Confusion", "Alert", L150)</f>
        <v>Alert</v>
      </c>
      <c r="N150">
        <f>IF(I150&lt;9,2,IF(I150&lt;=14,0,IF(I150&lt;=20,1,IF(I150&lt;=29,2,3)))) + IF(H150&lt;40,2,IF(H150&lt;=50,1,IF(H150&lt;=100,0,IF(H150&lt;=110,1,IF(H150&lt;=129,2,3))))) + IF(F150&lt;=70,3,IF(F150&lt;=80,2,IF(F150&lt;=100,1,IF(F150&lt;=199,0,2)))) + IF(E150&lt;35,2,IF(E150&lt;=38.4,0,IF(E150&lt;=38.9,1,2))) + IF(M150="Alert",0,IF(M150="Voice",1,IF(M150="Pain",2,IF(M150="Unresponsive",3,0))))</f>
        <v>2</v>
      </c>
      <c r="O150">
        <f>IF(I150&lt;=8,3,IF(I150&lt;=11,1,IF(I150&lt;=20,0,IF(I150&lt;=24,2,3)))) + IF(J150&lt;=91,3,IF(J150&lt;=93,2,IF(J150&lt;=95,1,0))) + IF(K150=TRUE,2,0) + IF(F150&lt;=90,3,IF(F150&lt;=100,2,IF(F150&lt;=110,1,IF(F150&lt;=219,0,3)))) + IF(H150&lt;=40,3,IF(H150&lt;=50,1,IF(H150&lt;=90,0,IF(H150&lt;=110,1,IF(H150&lt;=130,2,3))))) + IF(E150&lt;=35,3,IF(E150&lt;=36,1,IF(E150&lt;=38,0,IF(E150&lt;=39,1,2)))) + IF(L150="Alert",0,3)</f>
        <v>3</v>
      </c>
    </row>
    <row r="151" spans="1:15" ht="15" customHeight="1" x14ac:dyDescent="0.3">
      <c r="A151">
        <v>15780880</v>
      </c>
      <c r="B151">
        <v>29330233</v>
      </c>
      <c r="C151" t="s">
        <v>15</v>
      </c>
      <c r="D151" s="7">
        <v>98.8</v>
      </c>
      <c r="E151" s="4">
        <v>37.1</v>
      </c>
      <c r="F151">
        <v>90</v>
      </c>
      <c r="G151">
        <v>38</v>
      </c>
      <c r="H151">
        <v>128</v>
      </c>
      <c r="I151">
        <v>14</v>
      </c>
      <c r="J151">
        <v>95</v>
      </c>
      <c r="K151" t="b">
        <v>1</v>
      </c>
      <c r="L151" t="s">
        <v>22</v>
      </c>
      <c r="M151" t="str">
        <f>IF(L151="Confusion", "Alert", L151)</f>
        <v>Voice</v>
      </c>
      <c r="N151">
        <f>IF(I151&lt;9,2,IF(I151&lt;=14,0,IF(I151&lt;=20,1,IF(I151&lt;=29,2,3)))) + IF(H151&lt;40,2,IF(H151&lt;=50,1,IF(H151&lt;=100,0,IF(H151&lt;=110,1,IF(H151&lt;=129,2,3))))) + IF(F151&lt;=70,3,IF(F151&lt;=80,2,IF(F151&lt;=100,1,IF(F151&lt;=199,0,2)))) + IF(E151&lt;35,2,IF(E151&lt;=38.4,0,IF(E151&lt;=38.9,1,2))) + IF(M151="Alert",0,IF(M151="Voice",1,IF(M151="Pain",2,IF(M151="Unresponsive",3,0))))</f>
        <v>4</v>
      </c>
      <c r="O151">
        <f>IF(I151&lt;=8,3,IF(I151&lt;=11,1,IF(I151&lt;=20,0,IF(I151&lt;=24,2,3)))) + IF(J151&lt;=91,3,IF(J151&lt;=93,2,IF(J151&lt;=95,1,0))) + IF(K151=TRUE,2,0) + IF(F151&lt;=90,3,IF(F151&lt;=100,2,IF(F151&lt;=110,1,IF(F151&lt;=219,0,3)))) + IF(H151&lt;=40,3,IF(H151&lt;=50,1,IF(H151&lt;=90,0,IF(H151&lt;=110,1,IF(H151&lt;=130,2,3))))) + IF(E151&lt;=35,3,IF(E151&lt;=36,1,IF(E151&lt;=38,0,IF(E151&lt;=39,1,2)))) + IF(L151="Alert",0,3)</f>
        <v>11</v>
      </c>
    </row>
    <row r="152" spans="1:15" x14ac:dyDescent="0.3">
      <c r="A152">
        <v>15279385</v>
      </c>
      <c r="B152">
        <v>20622340</v>
      </c>
      <c r="C152" t="s">
        <v>15</v>
      </c>
      <c r="D152" s="7">
        <v>97.7</v>
      </c>
      <c r="E152" s="4">
        <v>36.5</v>
      </c>
      <c r="F152">
        <v>150</v>
      </c>
      <c r="G152">
        <v>68</v>
      </c>
      <c r="H152">
        <v>114</v>
      </c>
      <c r="I152">
        <v>18</v>
      </c>
      <c r="J152">
        <v>94</v>
      </c>
      <c r="K152" t="b">
        <v>1</v>
      </c>
      <c r="L152" t="s">
        <v>16</v>
      </c>
      <c r="M152" t="str">
        <f>IF(L152="Confusion", "Alert", L152)</f>
        <v>Alert</v>
      </c>
      <c r="N152">
        <f>IF(I152&lt;9,2,IF(I152&lt;=14,0,IF(I152&lt;=20,1,IF(I152&lt;=29,2,3)))) + IF(H152&lt;40,2,IF(H152&lt;=50,1,IF(H152&lt;=100,0,IF(H152&lt;=110,1,IF(H152&lt;=129,2,3))))) + IF(F152&lt;=70,3,IF(F152&lt;=80,2,IF(F152&lt;=100,1,IF(F152&lt;=199,0,2)))) + IF(E152&lt;35,2,IF(E152&lt;=38.4,0,IF(E152&lt;=38.9,1,2))) + IF(M152="Alert",0,IF(M152="Voice",1,IF(M152="Pain",2,IF(M152="Unresponsive",3,0))))</f>
        <v>3</v>
      </c>
      <c r="O152">
        <f>IF(I152&lt;=8,3,IF(I152&lt;=11,1,IF(I152&lt;=20,0,IF(I152&lt;=24,2,3)))) + IF(J152&lt;=91,3,IF(J152&lt;=93,2,IF(J152&lt;=95,1,0))) + IF(K152=TRUE,2,0) + IF(F152&lt;=90,3,IF(F152&lt;=100,2,IF(F152&lt;=110,1,IF(F152&lt;=219,0,3)))) + IF(H152&lt;=40,3,IF(H152&lt;=50,1,IF(H152&lt;=90,0,IF(H152&lt;=110,1,IF(H152&lt;=130,2,3))))) + IF(E152&lt;=35,3,IF(E152&lt;=36,1,IF(E152&lt;=38,0,IF(E152&lt;=39,1,2)))) + IF(L152="Alert",0,3)</f>
        <v>5</v>
      </c>
    </row>
    <row r="153" spans="1:15" x14ac:dyDescent="0.3">
      <c r="A153">
        <v>18149074</v>
      </c>
      <c r="B153">
        <v>21813687</v>
      </c>
      <c r="C153" t="s">
        <v>15</v>
      </c>
      <c r="D153" s="8" t="s">
        <v>23</v>
      </c>
      <c r="E153" s="5"/>
      <c r="F153">
        <v>107</v>
      </c>
      <c r="G153">
        <v>65</v>
      </c>
      <c r="H153">
        <v>104</v>
      </c>
      <c r="I153">
        <v>22</v>
      </c>
      <c r="J153">
        <v>100</v>
      </c>
      <c r="K153" t="s">
        <v>23</v>
      </c>
      <c r="L153" t="s">
        <v>16</v>
      </c>
      <c r="M153" t="str">
        <f>IF(L153="Confusion", "Alert", L153)</f>
        <v>Alert</v>
      </c>
      <c r="N153" t="s">
        <v>23</v>
      </c>
      <c r="O153" t="s">
        <v>23</v>
      </c>
    </row>
    <row r="154" spans="1:15" x14ac:dyDescent="0.3">
      <c r="A154">
        <v>14644973</v>
      </c>
      <c r="B154">
        <v>29757292</v>
      </c>
      <c r="C154" t="s">
        <v>17</v>
      </c>
      <c r="D154" s="7">
        <v>98.5</v>
      </c>
      <c r="E154" s="4">
        <v>36.9</v>
      </c>
      <c r="F154">
        <v>155</v>
      </c>
      <c r="G154">
        <v>64</v>
      </c>
      <c r="H154">
        <v>69</v>
      </c>
      <c r="I154">
        <v>18</v>
      </c>
      <c r="J154">
        <v>100</v>
      </c>
      <c r="K154" t="b">
        <v>0</v>
      </c>
      <c r="L154" t="s">
        <v>16</v>
      </c>
      <c r="M154" t="str">
        <f>IF(L154="Confusion", "Alert", L154)</f>
        <v>Alert</v>
      </c>
      <c r="N154">
        <f>IF(I154&lt;9,2,IF(I154&lt;=14,0,IF(I154&lt;=20,1,IF(I154&lt;=29,2,3)))) + IF(H154&lt;40,2,IF(H154&lt;=50,1,IF(H154&lt;=100,0,IF(H154&lt;=110,1,IF(H154&lt;=129,2,3))))) + IF(F154&lt;=70,3,IF(F154&lt;=80,2,IF(F154&lt;=100,1,IF(F154&lt;=199,0,2)))) + IF(E154&lt;35,2,IF(E154&lt;=38.4,0,IF(E154&lt;=38.9,1,2))) + IF(M154="Alert",0,IF(M154="Voice",1,IF(M154="Pain",2,IF(M154="Unresponsive",3,0))))</f>
        <v>1</v>
      </c>
      <c r="O154">
        <f>IF(I154&lt;=8,3,IF(I154&lt;=11,1,IF(I154&lt;=20,0,IF(I154&lt;=24,2,3)))) + IF(J154&lt;=91,3,IF(J154&lt;=93,2,IF(J154&lt;=95,1,0))) + IF(K154=TRUE,2,0) + IF(F154&lt;=90,3,IF(F154&lt;=100,2,IF(F154&lt;=110,1,IF(F154&lt;=219,0,3)))) + IF(H154&lt;=40,3,IF(H154&lt;=50,1,IF(H154&lt;=90,0,IF(H154&lt;=110,1,IF(H154&lt;=130,2,3))))) + IF(E154&lt;=35,3,IF(E154&lt;=36,1,IF(E154&lt;=38,0,IF(E154&lt;=39,1,2)))) + IF(L154="Alert",0,3)</f>
        <v>0</v>
      </c>
    </row>
    <row r="155" spans="1:15" x14ac:dyDescent="0.3">
      <c r="A155">
        <v>11640157</v>
      </c>
      <c r="B155">
        <v>29617103</v>
      </c>
      <c r="C155" t="s">
        <v>17</v>
      </c>
      <c r="D155" s="8">
        <v>98.1</v>
      </c>
      <c r="E155" s="5">
        <v>36.700000000000003</v>
      </c>
      <c r="F155">
        <v>137</v>
      </c>
      <c r="G155">
        <v>74</v>
      </c>
      <c r="H155">
        <v>43</v>
      </c>
      <c r="I155">
        <v>16</v>
      </c>
      <c r="J155">
        <v>100</v>
      </c>
      <c r="K155" t="b">
        <v>0</v>
      </c>
      <c r="L155" t="s">
        <v>16</v>
      </c>
      <c r="M155" t="str">
        <f>IF(L155="Confusion", "Alert", L155)</f>
        <v>Alert</v>
      </c>
      <c r="N155">
        <f>IF(I155&lt;9,2,IF(I155&lt;=14,0,IF(I155&lt;=20,1,IF(I155&lt;=29,2,3)))) + IF(H155&lt;40,2,IF(H155&lt;=50,1,IF(H155&lt;=100,0,IF(H155&lt;=110,1,IF(H155&lt;=129,2,3))))) + IF(F155&lt;=70,3,IF(F155&lt;=80,2,IF(F155&lt;=100,1,IF(F155&lt;=199,0,2)))) + IF(E155&lt;35,2,IF(E155&lt;=38.4,0,IF(E155&lt;=38.9,1,2))) + IF(M155="Alert",0,IF(M155="Voice",1,IF(M155="Pain",2,IF(M155="Unresponsive",3,0))))</f>
        <v>2</v>
      </c>
      <c r="O155">
        <f>IF(I155&lt;=8,3,IF(I155&lt;=11,1,IF(I155&lt;=20,0,IF(I155&lt;=24,2,3)))) + IF(J155&lt;=91,3,IF(J155&lt;=93,2,IF(J155&lt;=95,1,0))) + IF(K155=TRUE,2,0) + IF(F155&lt;=90,3,IF(F155&lt;=100,2,IF(F155&lt;=110,1,IF(F155&lt;=219,0,3)))) + IF(H155&lt;=40,3,IF(H155&lt;=50,1,IF(H155&lt;=90,0,IF(H155&lt;=110,1,IF(H155&lt;=130,2,3))))) + IF(E155&lt;=35,3,IF(E155&lt;=36,1,IF(E155&lt;=38,0,IF(E155&lt;=39,1,2)))) + IF(L155="Alert",0,3)</f>
        <v>1</v>
      </c>
    </row>
    <row r="156" spans="1:15" x14ac:dyDescent="0.3">
      <c r="A156">
        <v>17211958</v>
      </c>
      <c r="B156">
        <v>20089707</v>
      </c>
      <c r="C156" t="s">
        <v>17</v>
      </c>
      <c r="D156" s="7"/>
      <c r="E156" s="4"/>
    </row>
    <row r="157" spans="1:15" x14ac:dyDescent="0.3">
      <c r="D157" s="8"/>
      <c r="E157" s="5"/>
    </row>
  </sheetData>
  <pageMargins left="0.75" right="0.75" top="1" bottom="1" header="0.5" footer="0.5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DB827A1-56F7-4AF1-BB4C-2506898EB3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Tabela3 (2)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Olavo Defendi Dalberto</cp:lastModifiedBy>
  <dcterms:created xsi:type="dcterms:W3CDTF">2026-02-21T12:40:03Z</dcterms:created>
  <dcterms:modified xsi:type="dcterms:W3CDTF">2026-03-04T16:31:55Z</dcterms:modified>
</cp:coreProperties>
</file>