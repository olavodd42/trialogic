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lavoDefendiDalberto\Projetos\TriaLogic\"/>
    </mc:Choice>
  </mc:AlternateContent>
  <xr:revisionPtr revIDLastSave="0" documentId="13_ncr:1_{E863548D-3E61-4FE8-A293-8ECE53D2C2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ela3 (2)" sheetId="4" r:id="rId1"/>
    <sheet name="Sheet1" sheetId="1" r:id="rId2"/>
  </sheets>
  <definedNames>
    <definedName name="DadosExternos_1" localSheetId="0" hidden="1">'Tabela3 (2)'!$A:$A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1" i="1" l="1"/>
  <c r="O352" i="1"/>
  <c r="O353" i="1"/>
  <c r="O354" i="1"/>
  <c r="O223" i="1"/>
  <c r="O225" i="1"/>
  <c r="O228" i="1"/>
  <c r="O231" i="1"/>
  <c r="O234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N213" i="1"/>
  <c r="N214" i="1"/>
  <c r="N215" i="1"/>
  <c r="N217" i="1"/>
  <c r="N218" i="1"/>
  <c r="N219" i="1"/>
  <c r="N221" i="1"/>
  <c r="N222" i="1"/>
  <c r="N223" i="1"/>
  <c r="N225" i="1"/>
  <c r="N226" i="1"/>
  <c r="N227" i="1"/>
  <c r="N23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E213" i="1"/>
  <c r="O213" i="1" s="1"/>
  <c r="E214" i="1"/>
  <c r="O214" i="1" s="1"/>
  <c r="E215" i="1"/>
  <c r="O215" i="1" s="1"/>
  <c r="E217" i="1"/>
  <c r="O217" i="1" s="1"/>
  <c r="E218" i="1"/>
  <c r="O218" i="1" s="1"/>
  <c r="E219" i="1"/>
  <c r="O219" i="1" s="1"/>
  <c r="E220" i="1"/>
  <c r="O220" i="1" s="1"/>
  <c r="E221" i="1"/>
  <c r="O221" i="1" s="1"/>
  <c r="E222" i="1"/>
  <c r="O222" i="1" s="1"/>
  <c r="E223" i="1"/>
  <c r="E224" i="1"/>
  <c r="N224" i="1" s="1"/>
  <c r="E225" i="1"/>
  <c r="E226" i="1"/>
  <c r="O226" i="1" s="1"/>
  <c r="E227" i="1"/>
  <c r="O227" i="1" s="1"/>
  <c r="E228" i="1"/>
  <c r="N228" i="1" s="1"/>
  <c r="E229" i="1"/>
  <c r="E231" i="1"/>
  <c r="E234" i="1"/>
  <c r="N234" i="1" s="1"/>
  <c r="E236" i="1"/>
  <c r="N236" i="1" s="1"/>
  <c r="E237" i="1"/>
  <c r="N237" i="1" s="1"/>
  <c r="E238" i="1"/>
  <c r="N238" i="1" s="1"/>
  <c r="E239" i="1"/>
  <c r="N239" i="1" s="1"/>
  <c r="E240" i="1"/>
  <c r="N240" i="1" s="1"/>
  <c r="E241" i="1"/>
  <c r="N241" i="1" s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205" i="1"/>
  <c r="O205" i="1" s="1"/>
  <c r="E206" i="1"/>
  <c r="O206" i="1" s="1"/>
  <c r="E208" i="1"/>
  <c r="O208" i="1" s="1"/>
  <c r="E211" i="1"/>
  <c r="O211" i="1" s="1"/>
  <c r="E212" i="1"/>
  <c r="N212" i="1" s="1"/>
  <c r="E157" i="1"/>
  <c r="E158" i="1"/>
  <c r="E159" i="1"/>
  <c r="E160" i="1"/>
  <c r="O160" i="1" s="1"/>
  <c r="E161" i="1"/>
  <c r="N161" i="1" s="1"/>
  <c r="E163" i="1"/>
  <c r="N163" i="1" s="1"/>
  <c r="E164" i="1"/>
  <c r="N164" i="1" s="1"/>
  <c r="E165" i="1"/>
  <c r="O165" i="1" s="1"/>
  <c r="E167" i="1"/>
  <c r="O167" i="1" s="1"/>
  <c r="E168" i="1"/>
  <c r="O168" i="1" s="1"/>
  <c r="E169" i="1"/>
  <c r="N169" i="1" s="1"/>
  <c r="E170" i="1"/>
  <c r="O170" i="1" s="1"/>
  <c r="E171" i="1"/>
  <c r="E172" i="1"/>
  <c r="E174" i="1"/>
  <c r="E177" i="1"/>
  <c r="O177" i="1" s="1"/>
  <c r="E178" i="1"/>
  <c r="O178" i="1" s="1"/>
  <c r="E179" i="1"/>
  <c r="O179" i="1" s="1"/>
  <c r="E180" i="1"/>
  <c r="N180" i="1" s="1"/>
  <c r="E181" i="1"/>
  <c r="N181" i="1" s="1"/>
  <c r="E182" i="1"/>
  <c r="E183" i="1"/>
  <c r="E184" i="1"/>
  <c r="N184" i="1" s="1"/>
  <c r="E186" i="1"/>
  <c r="N186" i="1" s="1"/>
  <c r="E187" i="1"/>
  <c r="N187" i="1" s="1"/>
  <c r="E189" i="1"/>
  <c r="O189" i="1" s="1"/>
  <c r="E190" i="1"/>
  <c r="O190" i="1" s="1"/>
  <c r="E191" i="1"/>
  <c r="O191" i="1" s="1"/>
  <c r="E192" i="1"/>
  <c r="O192" i="1" s="1"/>
  <c r="E193" i="1"/>
  <c r="N193" i="1" s="1"/>
  <c r="E194" i="1"/>
  <c r="N194" i="1" s="1"/>
  <c r="E195" i="1"/>
  <c r="N195" i="1" s="1"/>
  <c r="E196" i="1"/>
  <c r="N196" i="1" s="1"/>
  <c r="E198" i="1"/>
  <c r="O198" i="1" s="1"/>
  <c r="E199" i="1"/>
  <c r="N199" i="1" s="1"/>
  <c r="E200" i="1"/>
  <c r="N200" i="1" s="1"/>
  <c r="E201" i="1"/>
  <c r="O201" i="1" s="1"/>
  <c r="E203" i="1"/>
  <c r="N203" i="1" s="1"/>
  <c r="E204" i="1"/>
  <c r="O204" i="1" s="1"/>
  <c r="O157" i="1"/>
  <c r="O158" i="1"/>
  <c r="O159" i="1"/>
  <c r="O161" i="1"/>
  <c r="O163" i="1"/>
  <c r="O164" i="1"/>
  <c r="O171" i="1"/>
  <c r="O172" i="1"/>
  <c r="O181" i="1"/>
  <c r="O184" i="1"/>
  <c r="O187" i="1"/>
  <c r="O193" i="1"/>
  <c r="O194" i="1"/>
  <c r="O156" i="1"/>
  <c r="N157" i="1"/>
  <c r="N158" i="1"/>
  <c r="N159" i="1"/>
  <c r="N171" i="1"/>
  <c r="N172" i="1"/>
  <c r="N189" i="1"/>
  <c r="N156" i="1"/>
  <c r="E156" i="1"/>
  <c r="O106" i="1"/>
  <c r="O108" i="1"/>
  <c r="O110" i="1"/>
  <c r="O116" i="1"/>
  <c r="O118" i="1"/>
  <c r="O120" i="1"/>
  <c r="O121" i="1"/>
  <c r="O122" i="1"/>
  <c r="O123" i="1"/>
  <c r="O129" i="1"/>
  <c r="O130" i="1"/>
  <c r="O133" i="1"/>
  <c r="O148" i="1"/>
  <c r="O149" i="1"/>
  <c r="O150" i="1"/>
  <c r="M133" i="1"/>
  <c r="O94" i="1"/>
  <c r="O95" i="1"/>
  <c r="O128" i="1"/>
  <c r="O96" i="1"/>
  <c r="O97" i="1"/>
  <c r="O99" i="1"/>
  <c r="O100" i="1"/>
  <c r="O101" i="1"/>
  <c r="O102" i="1"/>
  <c r="O103" i="1"/>
  <c r="O104" i="1"/>
  <c r="O105" i="1"/>
  <c r="O107" i="1"/>
  <c r="O109" i="1"/>
  <c r="O111" i="1"/>
  <c r="O112" i="1"/>
  <c r="O113" i="1"/>
  <c r="O114" i="1"/>
  <c r="O115" i="1"/>
  <c r="O124" i="1"/>
  <c r="O125" i="1"/>
  <c r="O135" i="1"/>
  <c r="O136" i="1"/>
  <c r="O137" i="1"/>
  <c r="O138" i="1"/>
  <c r="O139" i="1"/>
  <c r="O141" i="1"/>
  <c r="O145" i="1"/>
  <c r="O147" i="1"/>
  <c r="O152" i="1"/>
  <c r="O154" i="1"/>
  <c r="O155" i="1"/>
  <c r="M89" i="1"/>
  <c r="M90" i="1"/>
  <c r="M91" i="1"/>
  <c r="M92" i="1"/>
  <c r="M93" i="1"/>
  <c r="M94" i="1"/>
  <c r="M95" i="1"/>
  <c r="N95" i="1" s="1"/>
  <c r="M96" i="1"/>
  <c r="N96" i="1" s="1"/>
  <c r="M97" i="1"/>
  <c r="M98" i="1"/>
  <c r="M99" i="1"/>
  <c r="M100" i="1"/>
  <c r="N100" i="1" s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N125" i="1" s="1"/>
  <c r="M126" i="1"/>
  <c r="N126" i="1" s="1"/>
  <c r="M127" i="1"/>
  <c r="N127" i="1" s="1"/>
  <c r="M128" i="1"/>
  <c r="M129" i="1"/>
  <c r="M130" i="1"/>
  <c r="M131" i="1"/>
  <c r="M132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88" i="1"/>
  <c r="O90" i="1"/>
  <c r="O92" i="1"/>
  <c r="O93" i="1"/>
  <c r="O88" i="1"/>
  <c r="O238" i="1" l="1"/>
  <c r="O237" i="1"/>
  <c r="O236" i="1"/>
  <c r="O224" i="1"/>
  <c r="N220" i="1"/>
  <c r="N201" i="1"/>
  <c r="N211" i="1"/>
  <c r="N206" i="1"/>
  <c r="N205" i="1"/>
  <c r="O212" i="1"/>
  <c r="N208" i="1"/>
  <c r="O200" i="1"/>
  <c r="O195" i="1"/>
  <c r="N198" i="1"/>
  <c r="O199" i="1"/>
  <c r="O196" i="1"/>
  <c r="O186" i="1"/>
  <c r="N177" i="1"/>
  <c r="N170" i="1"/>
  <c r="O169" i="1"/>
  <c r="N165" i="1"/>
  <c r="N160" i="1"/>
  <c r="N168" i="1"/>
  <c r="N191" i="1"/>
  <c r="N167" i="1"/>
  <c r="N192" i="1"/>
  <c r="N190" i="1"/>
  <c r="N204" i="1"/>
  <c r="N178" i="1"/>
  <c r="O180" i="1"/>
  <c r="N179" i="1"/>
  <c r="O203" i="1"/>
  <c r="O127" i="1"/>
  <c r="O126" i="1"/>
  <c r="N134" i="1"/>
  <c r="N132" i="1"/>
  <c r="N105" i="1"/>
  <c r="N143" i="1"/>
  <c r="N131" i="1"/>
  <c r="N130" i="1"/>
  <c r="N140" i="1"/>
  <c r="N133" i="1"/>
  <c r="N155" i="1"/>
  <c r="N154" i="1"/>
  <c r="N151" i="1"/>
  <c r="O151" i="1"/>
  <c r="N150" i="1"/>
  <c r="N149" i="1"/>
  <c r="N148" i="1"/>
  <c r="N147" i="1"/>
  <c r="N145" i="1"/>
  <c r="N144" i="1"/>
  <c r="O144" i="1"/>
  <c r="O143" i="1"/>
  <c r="N142" i="1"/>
  <c r="O142" i="1"/>
  <c r="N141" i="1"/>
  <c r="O140" i="1"/>
  <c r="N139" i="1"/>
  <c r="N138" i="1"/>
  <c r="N137" i="1"/>
  <c r="N136" i="1"/>
  <c r="O134" i="1"/>
  <c r="O132" i="1"/>
  <c r="O131" i="1"/>
  <c r="N129" i="1"/>
  <c r="N128" i="1"/>
  <c r="N121" i="1"/>
  <c r="N120" i="1"/>
  <c r="N118" i="1"/>
  <c r="N116" i="1"/>
  <c r="N115" i="1"/>
  <c r="N111" i="1"/>
  <c r="N110" i="1"/>
  <c r="N109" i="1"/>
  <c r="N108" i="1"/>
  <c r="N107" i="1"/>
  <c r="N106" i="1"/>
  <c r="N113" i="1"/>
  <c r="N112" i="1"/>
  <c r="N122" i="1"/>
  <c r="N123" i="1"/>
  <c r="N101" i="1"/>
  <c r="N99" i="1"/>
  <c r="N93" i="1"/>
  <c r="N102" i="1"/>
  <c r="N94" i="1"/>
  <c r="N152" i="1"/>
  <c r="N135" i="1"/>
  <c r="N124" i="1"/>
  <c r="N114" i="1"/>
  <c r="N104" i="1"/>
  <c r="N97" i="1"/>
  <c r="N103" i="1"/>
  <c r="N92" i="1"/>
  <c r="N90" i="1"/>
  <c r="N8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31AEAE-4745-4E16-9838-0C56EA4963B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  <connection id="2" xr16:uid="{5704D768-8B11-415E-81E4-20A39AAFEDAF}" keepAlive="1" name="Consulta - Tabela3" description="Conexão com a consulta 'Tabela3' na pasta de trabalho." type="5" refreshedVersion="0" background="1">
    <dbPr connection="Provider=Microsoft.Mashup.OleDb.1;Data Source=$Workbook$;Location=Tabela3;Extended Properties=&quot;&quot;" command="SELECT * FROM [Tabela3]"/>
  </connection>
  <connection id="3" xr16:uid="{7EA10784-0F11-4703-AD00-74D1EE642939}" keepAlive="1" name="Consulta - Tabela3 (2)" description="Conexão com a consulta 'Tabela3 (2)' na pasta de trabalho." type="5" refreshedVersion="8" background="1" saveData="1">
    <dbPr connection="Provider=Microsoft.Mashup.OleDb.1;Data Source=$Workbook$;Location=&quot;Tabela3 (2)&quot;;Extended Properties=&quot;&quot;" command="SELECT * FROM [Tabela3 (2)]"/>
  </connection>
  <connection id="4" xr16:uid="{CD7FDCD1-F6A0-4B0C-BAE5-A0057952916B}" keepAlive="1" name="Consulta - Tabela3 (3)" description="Conexão com a consulta 'Tabela3 (3)' na pasta de trabalho." type="5" refreshedVersion="8" background="1" saveData="1">
    <dbPr connection="Provider=Microsoft.Mashup.OleDb.1;Data Source=$Workbook$;Location=&quot;Tabela3 (3)&quot;;Extended Properties=&quot;&quot;" command="SELECT * FROM [Tabela3 (3)]"/>
  </connection>
</connections>
</file>

<file path=xl/sharedStrings.xml><?xml version="1.0" encoding="utf-8"?>
<sst xmlns="http://schemas.openxmlformats.org/spreadsheetml/2006/main" count="1093" uniqueCount="24">
  <si>
    <t>subject_id</t>
  </si>
  <si>
    <t>hadm_id</t>
  </si>
  <si>
    <t>cohort</t>
  </si>
  <si>
    <t>temperature_fahrenheit</t>
  </si>
  <si>
    <t>temperature_celsius</t>
  </si>
  <si>
    <t>sbp</t>
  </si>
  <si>
    <t>dbp</t>
  </si>
  <si>
    <t>heartrate</t>
  </si>
  <si>
    <t>resprate</t>
  </si>
  <si>
    <t>o2sat</t>
  </si>
  <si>
    <t>supplemental_oxygen</t>
  </si>
  <si>
    <t>acvpu</t>
  </si>
  <si>
    <t>avpu</t>
  </si>
  <si>
    <t>mews</t>
  </si>
  <si>
    <t>news</t>
  </si>
  <si>
    <t>trauma</t>
  </si>
  <si>
    <t>Alert</t>
  </si>
  <si>
    <t>chest pain</t>
  </si>
  <si>
    <t>sepsis</t>
  </si>
  <si>
    <t>Confusion</t>
  </si>
  <si>
    <t>Unresponsive</t>
  </si>
  <si>
    <t>Pain</t>
  </si>
  <si>
    <t>Voice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</si>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</sst>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3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0" fillId="3" borderId="4" xfId="0" applyFill="1" applyBorder="1"/>
    <xf numFmtId="0" fontId="0" fillId="0" borderId="4" xfId="0" applyBorder="1"/>
    <xf numFmtId="0" fontId="4" fillId="0" borderId="1" xfId="0" applyFont="1" applyBorder="1" applyAlignment="1">
      <alignment horizontal="center" vertical="top"/>
    </xf>
    <xf numFmtId="0" fontId="0" fillId="0" borderId="0" xfId="0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181D84EC-74B0-4EFE-AEF1-548B4DE4E519}" autoFormatId="16" applyNumberFormats="0" applyBorderFormats="0" applyFontFormats="0" applyPatternFormats="0" applyAlignmentFormats="0" applyWidthHeightFormats="0">
  <queryTableRefresh nextId="2">
    <queryTableFields count="1">
      <queryTableField id="1" name="temperature_celsiu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582D6E-2F4E-4143-89AB-CEE80C3F840D}" name="Tabela3__2" displayName="Tabela3__2" ref="A1:A1048576" tableType="queryTable" totalsRowShown="0">
  <autoFilter ref="A1:A1048576" xr:uid="{02582D6E-2F4E-4143-89AB-CEE80C3F840D}"/>
  <tableColumns count="1">
    <tableColumn id="1" xr3:uid="{31BB8130-1497-41E6-8A95-227E36078C1F}" uniqueName="1" name="temperature_celsius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B7D0-0D63-49E3-9C74-320074ABDE7B}">
  <dimension ref="A1:A181"/>
  <sheetViews>
    <sheetView workbookViewId="0">
      <selection sqref="A1:A1048576"/>
    </sheetView>
  </sheetViews>
  <sheetFormatPr defaultRowHeight="14.4" x14ac:dyDescent="0.3"/>
  <cols>
    <col min="1" max="1" width="20.44140625" bestFit="1" customWidth="1"/>
  </cols>
  <sheetData>
    <row r="1" spans="1:1" x14ac:dyDescent="0.3">
      <c r="A1" t="s">
        <v>4</v>
      </c>
    </row>
    <row r="2" spans="1:1" x14ac:dyDescent="0.3">
      <c r="A2">
        <v>37.9</v>
      </c>
    </row>
    <row r="3" spans="1:1" x14ac:dyDescent="0.3">
      <c r="A3">
        <v>36.700000000000003</v>
      </c>
    </row>
    <row r="4" spans="1:1" x14ac:dyDescent="0.3">
      <c r="A4">
        <v>36.299999999999997</v>
      </c>
    </row>
    <row r="5" spans="1:1" x14ac:dyDescent="0.3">
      <c r="A5">
        <v>36.799999999999997</v>
      </c>
    </row>
    <row r="6" spans="1:1" x14ac:dyDescent="0.3">
      <c r="A6">
        <v>36.9</v>
      </c>
    </row>
    <row r="7" spans="1:1" x14ac:dyDescent="0.3">
      <c r="A7">
        <v>37.1</v>
      </c>
    </row>
    <row r="8" spans="1:1" x14ac:dyDescent="0.3">
      <c r="A8">
        <v>36.5</v>
      </c>
    </row>
    <row r="9" spans="1:1" x14ac:dyDescent="0.3">
      <c r="A9">
        <v>37.1</v>
      </c>
    </row>
    <row r="10" spans="1:1" x14ac:dyDescent="0.3">
      <c r="A10">
        <v>36.799999999999997</v>
      </c>
    </row>
    <row r="12" spans="1:1" x14ac:dyDescent="0.3">
      <c r="A12">
        <v>36.4</v>
      </c>
    </row>
    <row r="13" spans="1:1" x14ac:dyDescent="0.3">
      <c r="A13">
        <v>37.6</v>
      </c>
    </row>
    <row r="14" spans="1:1" x14ac:dyDescent="0.3">
      <c r="A14">
        <v>36.799999999999997</v>
      </c>
    </row>
    <row r="15" spans="1:1" x14ac:dyDescent="0.3">
      <c r="A15">
        <v>36.9</v>
      </c>
    </row>
    <row r="16" spans="1:1" x14ac:dyDescent="0.3">
      <c r="A16">
        <v>36.799999999999997</v>
      </c>
    </row>
    <row r="17" spans="1:1" x14ac:dyDescent="0.3">
      <c r="A17">
        <v>37.700000000000003</v>
      </c>
    </row>
    <row r="18" spans="1:1" x14ac:dyDescent="0.3">
      <c r="A18">
        <v>37</v>
      </c>
    </row>
    <row r="19" spans="1:1" x14ac:dyDescent="0.3">
      <c r="A19">
        <v>37</v>
      </c>
    </row>
    <row r="20" spans="1:1" x14ac:dyDescent="0.3">
      <c r="A20">
        <v>36.9</v>
      </c>
    </row>
    <row r="21" spans="1:1" x14ac:dyDescent="0.3">
      <c r="A21">
        <v>37</v>
      </c>
    </row>
    <row r="22" spans="1:1" x14ac:dyDescent="0.3">
      <c r="A22">
        <v>36.700000000000003</v>
      </c>
    </row>
    <row r="23" spans="1:1" x14ac:dyDescent="0.3">
      <c r="A23">
        <v>36.700000000000003</v>
      </c>
    </row>
    <row r="25" spans="1:1" x14ac:dyDescent="0.3">
      <c r="A25">
        <v>36.4</v>
      </c>
    </row>
    <row r="26" spans="1:1" x14ac:dyDescent="0.3">
      <c r="A26">
        <v>36.5</v>
      </c>
    </row>
    <row r="27" spans="1:1" x14ac:dyDescent="0.3">
      <c r="A27">
        <v>36.5</v>
      </c>
    </row>
    <row r="28" spans="1:1" x14ac:dyDescent="0.3">
      <c r="A28">
        <v>36.6</v>
      </c>
    </row>
    <row r="30" spans="1:1" x14ac:dyDescent="0.3">
      <c r="A30">
        <v>36.5</v>
      </c>
    </row>
    <row r="31" spans="1:1" x14ac:dyDescent="0.3">
      <c r="A31">
        <v>37.1</v>
      </c>
    </row>
    <row r="32" spans="1:1" x14ac:dyDescent="0.3">
      <c r="A32">
        <v>36.799999999999997</v>
      </c>
    </row>
    <row r="33" spans="1:1" x14ac:dyDescent="0.3">
      <c r="A33">
        <v>36.200000000000003</v>
      </c>
    </row>
    <row r="34" spans="1:1" x14ac:dyDescent="0.3">
      <c r="A34">
        <v>36.4</v>
      </c>
    </row>
    <row r="35" spans="1:1" x14ac:dyDescent="0.3">
      <c r="A35">
        <v>36.700000000000003</v>
      </c>
    </row>
    <row r="36" spans="1:1" x14ac:dyDescent="0.3">
      <c r="A36">
        <v>36.5</v>
      </c>
    </row>
    <row r="38" spans="1:1" x14ac:dyDescent="0.3">
      <c r="A38">
        <v>36.6</v>
      </c>
    </row>
    <row r="39" spans="1:1" x14ac:dyDescent="0.3">
      <c r="A39">
        <v>35.9</v>
      </c>
    </row>
    <row r="40" spans="1:1" x14ac:dyDescent="0.3">
      <c r="A40">
        <v>36.6</v>
      </c>
    </row>
    <row r="41" spans="1:1" x14ac:dyDescent="0.3">
      <c r="A41">
        <v>37.1</v>
      </c>
    </row>
    <row r="42" spans="1:1" x14ac:dyDescent="0.3">
      <c r="A42">
        <v>36.9</v>
      </c>
    </row>
    <row r="43" spans="1:1" x14ac:dyDescent="0.3">
      <c r="A43">
        <v>36.299999999999997</v>
      </c>
    </row>
    <row r="44" spans="1:1" x14ac:dyDescent="0.3">
      <c r="A44">
        <v>37.1</v>
      </c>
    </row>
    <row r="45" spans="1:1" x14ac:dyDescent="0.3">
      <c r="A45">
        <v>36.799999999999997</v>
      </c>
    </row>
    <row r="46" spans="1:1" x14ac:dyDescent="0.3">
      <c r="A46">
        <v>36.700000000000003</v>
      </c>
    </row>
    <row r="47" spans="1:1" x14ac:dyDescent="0.3">
      <c r="A47">
        <v>37</v>
      </c>
    </row>
    <row r="48" spans="1:1" x14ac:dyDescent="0.3">
      <c r="A48">
        <v>37</v>
      </c>
    </row>
    <row r="49" spans="1:1" x14ac:dyDescent="0.3">
      <c r="A49">
        <v>33.5</v>
      </c>
    </row>
    <row r="50" spans="1:1" x14ac:dyDescent="0.3">
      <c r="A50">
        <v>36.1</v>
      </c>
    </row>
    <row r="51" spans="1:1" x14ac:dyDescent="0.3">
      <c r="A51">
        <v>36.1</v>
      </c>
    </row>
    <row r="52" spans="1:1" x14ac:dyDescent="0.3">
      <c r="A52">
        <v>36.700000000000003</v>
      </c>
    </row>
    <row r="54" spans="1:1" x14ac:dyDescent="0.3">
      <c r="A54">
        <v>36.700000000000003</v>
      </c>
    </row>
    <row r="56" spans="1:1" x14ac:dyDescent="0.3">
      <c r="A56">
        <v>36.700000000000003</v>
      </c>
    </row>
    <row r="57" spans="1:1" x14ac:dyDescent="0.3">
      <c r="A57">
        <v>36.9</v>
      </c>
    </row>
    <row r="58" spans="1:1" x14ac:dyDescent="0.3">
      <c r="A58">
        <v>36.5</v>
      </c>
    </row>
    <row r="59" spans="1:1" x14ac:dyDescent="0.3">
      <c r="A59">
        <v>37.299999999999997</v>
      </c>
    </row>
    <row r="60" spans="1:1" x14ac:dyDescent="0.3">
      <c r="A60">
        <v>36.5</v>
      </c>
    </row>
    <row r="62" spans="1:1" x14ac:dyDescent="0.3">
      <c r="A62">
        <v>36.5</v>
      </c>
    </row>
    <row r="63" spans="1:1" x14ac:dyDescent="0.3">
      <c r="A63">
        <v>36.6</v>
      </c>
    </row>
    <row r="64" spans="1:1" x14ac:dyDescent="0.3">
      <c r="A64">
        <v>36.799999999999997</v>
      </c>
    </row>
    <row r="65" spans="1:1" x14ac:dyDescent="0.3">
      <c r="A65">
        <v>36.5</v>
      </c>
    </row>
    <row r="66" spans="1:1" x14ac:dyDescent="0.3">
      <c r="A66">
        <v>36.799999999999997</v>
      </c>
    </row>
    <row r="70" spans="1:1" x14ac:dyDescent="0.3">
      <c r="A70">
        <v>36.5</v>
      </c>
    </row>
    <row r="71" spans="1:1" x14ac:dyDescent="0.3">
      <c r="A71">
        <v>37.700000000000003</v>
      </c>
    </row>
    <row r="72" spans="1:1" x14ac:dyDescent="0.3">
      <c r="A72">
        <v>37</v>
      </c>
    </row>
    <row r="73" spans="1:1" x14ac:dyDescent="0.3">
      <c r="A73">
        <v>37.4</v>
      </c>
    </row>
    <row r="74" spans="1:1" x14ac:dyDescent="0.3">
      <c r="A74">
        <v>35.799999999999997</v>
      </c>
    </row>
    <row r="75" spans="1:1" x14ac:dyDescent="0.3">
      <c r="A75">
        <v>37</v>
      </c>
    </row>
    <row r="76" spans="1:1" x14ac:dyDescent="0.3">
      <c r="A76">
        <v>36.6</v>
      </c>
    </row>
    <row r="77" spans="1:1" x14ac:dyDescent="0.3">
      <c r="A77">
        <v>36.1</v>
      </c>
    </row>
    <row r="78" spans="1:1" x14ac:dyDescent="0.3">
      <c r="A78">
        <v>37.299999999999997</v>
      </c>
    </row>
    <row r="79" spans="1:1" x14ac:dyDescent="0.3">
      <c r="A79">
        <v>36.299999999999997</v>
      </c>
    </row>
    <row r="80" spans="1:1" x14ac:dyDescent="0.3">
      <c r="A80">
        <v>36.799999999999997</v>
      </c>
    </row>
    <row r="81" spans="1:1" x14ac:dyDescent="0.3">
      <c r="A81">
        <v>36.4</v>
      </c>
    </row>
    <row r="82" spans="1:1" x14ac:dyDescent="0.3">
      <c r="A82">
        <v>36.5</v>
      </c>
    </row>
    <row r="83" spans="1:1" x14ac:dyDescent="0.3">
      <c r="A83">
        <v>36.6</v>
      </c>
    </row>
    <row r="85" spans="1:1" x14ac:dyDescent="0.3">
      <c r="A85">
        <v>37.1</v>
      </c>
    </row>
    <row r="86" spans="1:1" x14ac:dyDescent="0.3">
      <c r="A86">
        <v>39.1</v>
      </c>
    </row>
    <row r="87" spans="1:1" x14ac:dyDescent="0.3">
      <c r="A87">
        <v>36.5</v>
      </c>
    </row>
    <row r="88" spans="1:1" x14ac:dyDescent="0.3">
      <c r="A88">
        <v>37</v>
      </c>
    </row>
    <row r="89" spans="1:1" x14ac:dyDescent="0.3">
      <c r="A89">
        <v>36.4</v>
      </c>
    </row>
    <row r="90" spans="1:1" x14ac:dyDescent="0.3">
      <c r="A90">
        <v>39.200000000000003</v>
      </c>
    </row>
    <row r="92" spans="1:1" x14ac:dyDescent="0.3">
      <c r="A92">
        <v>37.200000000000003</v>
      </c>
    </row>
    <row r="93" spans="1:1" x14ac:dyDescent="0.3">
      <c r="A93">
        <v>37.4</v>
      </c>
    </row>
    <row r="94" spans="1:1" x14ac:dyDescent="0.3">
      <c r="A94">
        <v>37</v>
      </c>
    </row>
    <row r="95" spans="1:1" x14ac:dyDescent="0.3">
      <c r="A95">
        <v>36.299999999999997</v>
      </c>
    </row>
    <row r="97" spans="1:1" x14ac:dyDescent="0.3">
      <c r="A97">
        <v>35.4</v>
      </c>
    </row>
    <row r="98" spans="1:1" x14ac:dyDescent="0.3">
      <c r="A98">
        <v>36.799999999999997</v>
      </c>
    </row>
    <row r="99" spans="1:1" x14ac:dyDescent="0.3">
      <c r="A99">
        <v>35.6</v>
      </c>
    </row>
    <row r="100" spans="1:1" x14ac:dyDescent="0.3">
      <c r="A100">
        <v>36.6</v>
      </c>
    </row>
    <row r="101" spans="1:1" x14ac:dyDescent="0.3">
      <c r="A101">
        <v>37.9</v>
      </c>
    </row>
    <row r="103" spans="1:1" x14ac:dyDescent="0.3">
      <c r="A103">
        <v>36.200000000000003</v>
      </c>
    </row>
    <row r="105" spans="1:1" x14ac:dyDescent="0.3">
      <c r="A105">
        <v>37.200000000000003</v>
      </c>
    </row>
    <row r="106" spans="1:1" x14ac:dyDescent="0.3">
      <c r="A106">
        <v>37.1</v>
      </c>
    </row>
    <row r="107" spans="1:1" x14ac:dyDescent="0.3">
      <c r="A107">
        <v>2.6</v>
      </c>
    </row>
    <row r="108" spans="1:1" x14ac:dyDescent="0.3">
      <c r="A108">
        <v>36.700000000000003</v>
      </c>
    </row>
    <row r="109" spans="1:1" x14ac:dyDescent="0.3">
      <c r="A109">
        <v>36.6</v>
      </c>
    </row>
    <row r="110" spans="1:1" x14ac:dyDescent="0.3">
      <c r="A110">
        <v>37.1</v>
      </c>
    </row>
    <row r="112" spans="1:1" x14ac:dyDescent="0.3">
      <c r="A112">
        <v>37.5</v>
      </c>
    </row>
    <row r="113" spans="1:1" x14ac:dyDescent="0.3">
      <c r="A113">
        <v>37.4</v>
      </c>
    </row>
    <row r="114" spans="1:1" x14ac:dyDescent="0.3">
      <c r="A114">
        <v>36.299999999999997</v>
      </c>
    </row>
    <row r="115" spans="1:1" x14ac:dyDescent="0.3">
      <c r="A115">
        <v>36.700000000000003</v>
      </c>
    </row>
    <row r="116" spans="1:1" x14ac:dyDescent="0.3">
      <c r="A116">
        <v>36.6</v>
      </c>
    </row>
    <row r="117" spans="1:1" x14ac:dyDescent="0.3">
      <c r="A117">
        <v>37.299999999999997</v>
      </c>
    </row>
    <row r="118" spans="1:1" x14ac:dyDescent="0.3">
      <c r="A118">
        <v>36.700000000000003</v>
      </c>
    </row>
    <row r="119" spans="1:1" x14ac:dyDescent="0.3">
      <c r="A119">
        <v>36.4</v>
      </c>
    </row>
    <row r="120" spans="1:1" x14ac:dyDescent="0.3">
      <c r="A120">
        <v>36.200000000000003</v>
      </c>
    </row>
    <row r="121" spans="1:1" x14ac:dyDescent="0.3">
      <c r="A121">
        <v>37.200000000000003</v>
      </c>
    </row>
    <row r="122" spans="1:1" x14ac:dyDescent="0.3">
      <c r="A122">
        <v>36.4</v>
      </c>
    </row>
    <row r="123" spans="1:1" x14ac:dyDescent="0.3">
      <c r="A123">
        <v>35.700000000000003</v>
      </c>
    </row>
    <row r="124" spans="1:1" x14ac:dyDescent="0.3">
      <c r="A124">
        <v>37.200000000000003</v>
      </c>
    </row>
    <row r="125" spans="1:1" x14ac:dyDescent="0.3">
      <c r="A125">
        <v>36.6</v>
      </c>
    </row>
    <row r="126" spans="1:1" x14ac:dyDescent="0.3">
      <c r="A126">
        <v>37.299999999999997</v>
      </c>
    </row>
    <row r="127" spans="1:1" x14ac:dyDescent="0.3">
      <c r="A127">
        <v>37.1</v>
      </c>
    </row>
    <row r="128" spans="1:1" x14ac:dyDescent="0.3">
      <c r="A128">
        <v>37.299999999999997</v>
      </c>
    </row>
    <row r="129" spans="1:1" x14ac:dyDescent="0.3">
      <c r="A129">
        <v>36.700000000000003</v>
      </c>
    </row>
    <row r="130" spans="1:1" x14ac:dyDescent="0.3">
      <c r="A130">
        <v>36.700000000000003</v>
      </c>
    </row>
    <row r="131" spans="1:1" x14ac:dyDescent="0.3">
      <c r="A131">
        <v>36.4</v>
      </c>
    </row>
    <row r="132" spans="1:1" x14ac:dyDescent="0.3">
      <c r="A132">
        <v>37.299999999999997</v>
      </c>
    </row>
    <row r="133" spans="1:1" x14ac:dyDescent="0.3">
      <c r="A133">
        <v>36.9</v>
      </c>
    </row>
    <row r="134" spans="1:1" x14ac:dyDescent="0.3">
      <c r="A134">
        <v>35.9</v>
      </c>
    </row>
    <row r="135" spans="1:1" x14ac:dyDescent="0.3">
      <c r="A135">
        <v>36.9</v>
      </c>
    </row>
    <row r="137" spans="1:1" x14ac:dyDescent="0.3">
      <c r="A137">
        <v>36.799999999999997</v>
      </c>
    </row>
    <row r="138" spans="1:1" x14ac:dyDescent="0.3">
      <c r="A138">
        <v>36.5</v>
      </c>
    </row>
    <row r="139" spans="1:1" x14ac:dyDescent="0.3">
      <c r="A139">
        <v>36.6</v>
      </c>
    </row>
    <row r="140" spans="1:1" x14ac:dyDescent="0.3">
      <c r="A140">
        <v>36.9</v>
      </c>
    </row>
    <row r="141" spans="1:1" x14ac:dyDescent="0.3">
      <c r="A141">
        <v>36.799999999999997</v>
      </c>
    </row>
    <row r="142" spans="1:1" x14ac:dyDescent="0.3">
      <c r="A142">
        <v>36.799999999999997</v>
      </c>
    </row>
    <row r="143" spans="1:1" x14ac:dyDescent="0.3">
      <c r="A143">
        <v>36.799999999999997</v>
      </c>
    </row>
    <row r="144" spans="1:1" x14ac:dyDescent="0.3">
      <c r="A144">
        <v>37.799999999999997</v>
      </c>
    </row>
    <row r="145" spans="1:1" x14ac:dyDescent="0.3">
      <c r="A145">
        <v>37.1</v>
      </c>
    </row>
    <row r="146" spans="1:1" x14ac:dyDescent="0.3">
      <c r="A146">
        <v>39.4</v>
      </c>
    </row>
    <row r="147" spans="1:1" x14ac:dyDescent="0.3">
      <c r="A147">
        <v>36.6</v>
      </c>
    </row>
    <row r="148" spans="1:1" x14ac:dyDescent="0.3">
      <c r="A148">
        <v>36.4</v>
      </c>
    </row>
    <row r="149" spans="1:1" x14ac:dyDescent="0.3">
      <c r="A149">
        <v>36.700000000000003</v>
      </c>
    </row>
    <row r="150" spans="1:1" x14ac:dyDescent="0.3">
      <c r="A150">
        <v>36.799999999999997</v>
      </c>
    </row>
    <row r="151" spans="1:1" x14ac:dyDescent="0.3">
      <c r="A151">
        <v>37.9</v>
      </c>
    </row>
    <row r="152" spans="1:1" x14ac:dyDescent="0.3">
      <c r="A152">
        <v>36.700000000000003</v>
      </c>
    </row>
    <row r="153" spans="1:1" x14ac:dyDescent="0.3">
      <c r="A153">
        <v>36.799999999999997</v>
      </c>
    </row>
    <row r="154" spans="1:1" x14ac:dyDescent="0.3">
      <c r="A154">
        <v>37.6</v>
      </c>
    </row>
    <row r="155" spans="1:1" x14ac:dyDescent="0.3">
      <c r="A155">
        <v>36.9</v>
      </c>
    </row>
    <row r="156" spans="1:1" x14ac:dyDescent="0.3">
      <c r="A156">
        <v>36.700000000000003</v>
      </c>
    </row>
    <row r="157" spans="1:1" x14ac:dyDescent="0.3">
      <c r="A157">
        <v>36.1</v>
      </c>
    </row>
    <row r="158" spans="1:1" x14ac:dyDescent="0.3">
      <c r="A158">
        <v>37.200000000000003</v>
      </c>
    </row>
    <row r="159" spans="1:1" x14ac:dyDescent="0.3">
      <c r="A159">
        <v>36.6</v>
      </c>
    </row>
    <row r="160" spans="1:1" x14ac:dyDescent="0.3">
      <c r="A160">
        <v>38</v>
      </c>
    </row>
    <row r="161" spans="1:1" x14ac:dyDescent="0.3">
      <c r="A161">
        <v>36.799999999999997</v>
      </c>
    </row>
    <row r="162" spans="1:1" x14ac:dyDescent="0.3">
      <c r="A162">
        <v>37.6</v>
      </c>
    </row>
    <row r="163" spans="1:1" x14ac:dyDescent="0.3">
      <c r="A163">
        <v>36.700000000000003</v>
      </c>
    </row>
    <row r="164" spans="1:1" x14ac:dyDescent="0.3">
      <c r="A164">
        <v>36.700000000000003</v>
      </c>
    </row>
    <row r="165" spans="1:1" x14ac:dyDescent="0.3">
      <c r="A165">
        <v>37.1</v>
      </c>
    </row>
    <row r="166" spans="1:1" x14ac:dyDescent="0.3">
      <c r="A166">
        <v>37.5</v>
      </c>
    </row>
    <row r="167" spans="1:1" x14ac:dyDescent="0.3">
      <c r="A167">
        <v>36.9</v>
      </c>
    </row>
    <row r="168" spans="1:1" x14ac:dyDescent="0.3">
      <c r="A168">
        <v>37.1</v>
      </c>
    </row>
    <row r="169" spans="1:1" x14ac:dyDescent="0.3">
      <c r="A169">
        <v>37.200000000000003</v>
      </c>
    </row>
    <row r="170" spans="1:1" x14ac:dyDescent="0.3">
      <c r="A170">
        <v>37.1</v>
      </c>
    </row>
    <row r="171" spans="1:1" x14ac:dyDescent="0.3">
      <c r="A171">
        <v>36.5</v>
      </c>
    </row>
    <row r="172" spans="1:1" x14ac:dyDescent="0.3">
      <c r="A172">
        <v>36.6</v>
      </c>
    </row>
    <row r="173" spans="1:1" x14ac:dyDescent="0.3">
      <c r="A173">
        <v>37</v>
      </c>
    </row>
    <row r="174" spans="1:1" x14ac:dyDescent="0.3">
      <c r="A174">
        <v>37.1</v>
      </c>
    </row>
    <row r="175" spans="1:1" x14ac:dyDescent="0.3">
      <c r="A175">
        <v>36.9</v>
      </c>
    </row>
    <row r="176" spans="1:1" x14ac:dyDescent="0.3">
      <c r="A176">
        <v>37.1</v>
      </c>
    </row>
    <row r="177" spans="1:1" x14ac:dyDescent="0.3">
      <c r="A177">
        <v>36.700000000000003</v>
      </c>
    </row>
    <row r="178" spans="1:1" x14ac:dyDescent="0.3">
      <c r="A178">
        <v>36.5</v>
      </c>
    </row>
    <row r="180" spans="1:1" x14ac:dyDescent="0.3">
      <c r="A180">
        <v>36.9</v>
      </c>
    </row>
    <row r="181" spans="1:1" x14ac:dyDescent="0.3">
      <c r="A181">
        <v>36.700000000000003</v>
      </c>
    </row>
  </sheetData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4"/>
  <sheetViews>
    <sheetView tabSelected="1" topLeftCell="A220" zoomScale="104" zoomScaleNormal="145" workbookViewId="0">
      <selection activeCell="H243" sqref="H243"/>
    </sheetView>
  </sheetViews>
  <sheetFormatPr defaultRowHeight="14.4" x14ac:dyDescent="0.3"/>
  <cols>
    <col min="1" max="1" width="15.88671875" customWidth="1"/>
    <col min="2" max="2" width="18.77734375" customWidth="1"/>
    <col min="4" max="4" width="23.88671875" bestFit="1" customWidth="1"/>
    <col min="5" max="5" width="20.44140625" bestFit="1" customWidth="1"/>
    <col min="11" max="11" width="20.88671875" customWidth="1"/>
    <col min="12" max="12" width="13.77734375" customWidth="1"/>
  </cols>
  <sheetData>
    <row r="1" spans="1:15" x14ac:dyDescent="0.3">
      <c r="A1" s="1" t="s">
        <v>0</v>
      </c>
      <c r="B1" s="1" t="s">
        <v>1</v>
      </c>
      <c r="C1" s="11" t="s">
        <v>2</v>
      </c>
      <c r="D1" s="6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18115365</v>
      </c>
      <c r="B2">
        <v>26207505</v>
      </c>
      <c r="C2" t="s">
        <v>15</v>
      </c>
      <c r="D2" s="7">
        <v>100.2</v>
      </c>
      <c r="E2" s="4">
        <v>37.9</v>
      </c>
      <c r="F2">
        <v>151</v>
      </c>
      <c r="G2">
        <v>77</v>
      </c>
      <c r="H2">
        <v>96</v>
      </c>
      <c r="I2">
        <v>20</v>
      </c>
      <c r="J2">
        <v>96</v>
      </c>
      <c r="K2" t="b">
        <v>0</v>
      </c>
      <c r="L2" t="s">
        <v>16</v>
      </c>
      <c r="M2" t="s">
        <v>16</v>
      </c>
      <c r="N2">
        <v>1</v>
      </c>
      <c r="O2">
        <v>1</v>
      </c>
    </row>
    <row r="3" spans="1:15" x14ac:dyDescent="0.3">
      <c r="A3">
        <v>17349939</v>
      </c>
      <c r="B3">
        <v>25258674</v>
      </c>
      <c r="C3" t="s">
        <v>17</v>
      </c>
      <c r="D3" s="8">
        <v>98.1</v>
      </c>
      <c r="E3" s="5">
        <v>36.700000000000003</v>
      </c>
      <c r="F3">
        <v>114</v>
      </c>
      <c r="G3">
        <v>78</v>
      </c>
      <c r="H3">
        <v>104</v>
      </c>
      <c r="I3">
        <v>18</v>
      </c>
      <c r="J3">
        <v>99</v>
      </c>
      <c r="K3" t="b">
        <v>0</v>
      </c>
      <c r="L3" t="s">
        <v>16</v>
      </c>
      <c r="M3" t="s">
        <v>16</v>
      </c>
      <c r="N3">
        <v>2</v>
      </c>
      <c r="O3">
        <v>1</v>
      </c>
    </row>
    <row r="4" spans="1:15" x14ac:dyDescent="0.3">
      <c r="A4">
        <v>17197332</v>
      </c>
      <c r="B4">
        <v>29551486</v>
      </c>
      <c r="C4" t="s">
        <v>15</v>
      </c>
      <c r="D4" s="7">
        <v>97.4</v>
      </c>
      <c r="E4" s="4">
        <v>36.299999999999997</v>
      </c>
      <c r="F4">
        <v>139</v>
      </c>
      <c r="G4">
        <v>76</v>
      </c>
      <c r="H4">
        <v>80</v>
      </c>
      <c r="I4">
        <v>18</v>
      </c>
      <c r="J4">
        <v>94</v>
      </c>
      <c r="K4" t="b">
        <v>0</v>
      </c>
      <c r="L4" t="s">
        <v>16</v>
      </c>
      <c r="M4" t="s">
        <v>16</v>
      </c>
      <c r="N4">
        <v>1</v>
      </c>
      <c r="O4">
        <v>1</v>
      </c>
    </row>
    <row r="5" spans="1:15" x14ac:dyDescent="0.3">
      <c r="A5">
        <v>14258856</v>
      </c>
      <c r="B5">
        <v>22480125</v>
      </c>
      <c r="C5" t="s">
        <v>17</v>
      </c>
      <c r="D5" s="7">
        <v>98.5</v>
      </c>
      <c r="E5" s="4">
        <v>36.9</v>
      </c>
      <c r="F5">
        <v>88</v>
      </c>
      <c r="G5">
        <v>58</v>
      </c>
      <c r="H5">
        <v>64</v>
      </c>
      <c r="I5">
        <v>18</v>
      </c>
      <c r="J5">
        <v>100</v>
      </c>
      <c r="K5" t="b">
        <v>0</v>
      </c>
      <c r="L5" t="s">
        <v>16</v>
      </c>
      <c r="M5" t="s">
        <v>16</v>
      </c>
      <c r="N5">
        <v>2</v>
      </c>
      <c r="O5">
        <v>4</v>
      </c>
    </row>
    <row r="6" spans="1:15" x14ac:dyDescent="0.3">
      <c r="A6">
        <v>16366148</v>
      </c>
      <c r="B6">
        <v>28906833</v>
      </c>
      <c r="C6" t="s">
        <v>17</v>
      </c>
      <c r="D6" s="8">
        <v>98.7</v>
      </c>
      <c r="E6" s="5">
        <v>37.1</v>
      </c>
      <c r="F6">
        <v>110</v>
      </c>
      <c r="G6">
        <v>57</v>
      </c>
      <c r="H6">
        <v>78</v>
      </c>
      <c r="I6">
        <v>17</v>
      </c>
      <c r="J6">
        <v>98</v>
      </c>
      <c r="K6" t="b">
        <v>0</v>
      </c>
      <c r="L6" t="s">
        <v>16</v>
      </c>
      <c r="M6" t="s">
        <v>16</v>
      </c>
      <c r="N6">
        <v>1</v>
      </c>
      <c r="O6">
        <v>1</v>
      </c>
    </row>
    <row r="7" spans="1:15" x14ac:dyDescent="0.3">
      <c r="A7">
        <v>18615099</v>
      </c>
      <c r="B7">
        <v>26937197</v>
      </c>
      <c r="C7" t="s">
        <v>18</v>
      </c>
      <c r="D7" s="7">
        <v>97.7</v>
      </c>
      <c r="E7" s="4">
        <v>36.5</v>
      </c>
      <c r="F7">
        <v>184</v>
      </c>
      <c r="G7">
        <v>83</v>
      </c>
      <c r="H7">
        <v>78</v>
      </c>
      <c r="I7">
        <v>18</v>
      </c>
      <c r="J7">
        <v>100</v>
      </c>
      <c r="K7" t="b">
        <v>0</v>
      </c>
      <c r="L7" t="s">
        <v>19</v>
      </c>
      <c r="M7" t="s">
        <v>16</v>
      </c>
      <c r="N7">
        <v>1</v>
      </c>
      <c r="O7">
        <v>3</v>
      </c>
    </row>
    <row r="8" spans="1:15" x14ac:dyDescent="0.3">
      <c r="A8">
        <v>16981118</v>
      </c>
      <c r="B8">
        <v>26953749</v>
      </c>
      <c r="C8" t="s">
        <v>15</v>
      </c>
      <c r="D8" s="8">
        <v>98.8</v>
      </c>
      <c r="E8" s="5">
        <v>37.1</v>
      </c>
      <c r="F8">
        <v>110</v>
      </c>
      <c r="G8">
        <v>58</v>
      </c>
      <c r="H8">
        <v>86</v>
      </c>
      <c r="I8">
        <v>16</v>
      </c>
      <c r="J8">
        <v>96</v>
      </c>
      <c r="K8" t="b">
        <v>0</v>
      </c>
      <c r="L8" t="s">
        <v>16</v>
      </c>
      <c r="M8" t="s">
        <v>16</v>
      </c>
      <c r="N8">
        <v>1</v>
      </c>
      <c r="O8">
        <v>1</v>
      </c>
    </row>
    <row r="9" spans="1:15" x14ac:dyDescent="0.3">
      <c r="A9">
        <v>17447861</v>
      </c>
      <c r="B9">
        <v>27208341</v>
      </c>
      <c r="C9" t="s">
        <v>18</v>
      </c>
      <c r="D9" s="7">
        <v>98.3</v>
      </c>
      <c r="E9" s="4">
        <v>36.799999999999997</v>
      </c>
      <c r="F9">
        <v>71</v>
      </c>
      <c r="G9">
        <v>56</v>
      </c>
      <c r="H9">
        <v>117</v>
      </c>
      <c r="I9">
        <v>11</v>
      </c>
      <c r="J9">
        <v>97</v>
      </c>
      <c r="K9" t="b">
        <v>0</v>
      </c>
      <c r="L9" t="s">
        <v>16</v>
      </c>
      <c r="M9" t="s">
        <v>16</v>
      </c>
      <c r="N9">
        <v>3</v>
      </c>
      <c r="O9">
        <v>6</v>
      </c>
    </row>
    <row r="10" spans="1:15" x14ac:dyDescent="0.3">
      <c r="A10">
        <v>18676703</v>
      </c>
      <c r="B10">
        <v>20851421</v>
      </c>
      <c r="C10" t="s">
        <v>18</v>
      </c>
      <c r="D10" s="8"/>
      <c r="E10" s="5"/>
      <c r="K10" t="b">
        <v>0</v>
      </c>
      <c r="L10" t="s">
        <v>16</v>
      </c>
      <c r="M10" t="s">
        <v>16</v>
      </c>
    </row>
    <row r="11" spans="1:15" x14ac:dyDescent="0.3">
      <c r="A11">
        <v>10506015</v>
      </c>
      <c r="B11">
        <v>25316003</v>
      </c>
      <c r="C11" t="s">
        <v>18</v>
      </c>
      <c r="D11" s="7">
        <v>97.6</v>
      </c>
      <c r="E11" s="4">
        <v>36.4</v>
      </c>
      <c r="F11">
        <v>117</v>
      </c>
      <c r="G11">
        <v>73</v>
      </c>
      <c r="H11">
        <v>82</v>
      </c>
      <c r="I11">
        <v>18</v>
      </c>
      <c r="J11">
        <v>100</v>
      </c>
      <c r="K11" t="b">
        <v>0</v>
      </c>
      <c r="L11" t="s">
        <v>16</v>
      </c>
      <c r="M11" t="s">
        <v>16</v>
      </c>
      <c r="N11">
        <v>1</v>
      </c>
      <c r="O11">
        <v>0</v>
      </c>
    </row>
    <row r="12" spans="1:15" x14ac:dyDescent="0.3">
      <c r="A12">
        <v>16390389</v>
      </c>
      <c r="B12">
        <v>25245212</v>
      </c>
      <c r="C12" t="s">
        <v>17</v>
      </c>
      <c r="D12" s="8">
        <v>99.7</v>
      </c>
      <c r="E12" s="5">
        <v>37.6</v>
      </c>
      <c r="F12">
        <v>128</v>
      </c>
      <c r="G12">
        <v>68</v>
      </c>
      <c r="H12">
        <v>66</v>
      </c>
      <c r="I12">
        <v>18</v>
      </c>
      <c r="J12">
        <v>93</v>
      </c>
      <c r="K12" t="b">
        <v>0</v>
      </c>
      <c r="L12" t="s">
        <v>16</v>
      </c>
      <c r="M12" t="s">
        <v>16</v>
      </c>
      <c r="N12">
        <v>1</v>
      </c>
      <c r="O12">
        <v>2</v>
      </c>
    </row>
    <row r="13" spans="1:15" x14ac:dyDescent="0.3">
      <c r="A13">
        <v>17029854</v>
      </c>
      <c r="B13">
        <v>26851257</v>
      </c>
      <c r="C13" t="s">
        <v>15</v>
      </c>
      <c r="D13" s="7">
        <v>98.2</v>
      </c>
      <c r="E13" s="4">
        <v>36.799999999999997</v>
      </c>
      <c r="F13">
        <v>121</v>
      </c>
      <c r="G13">
        <v>91</v>
      </c>
      <c r="H13">
        <v>103</v>
      </c>
      <c r="I13">
        <v>27</v>
      </c>
      <c r="J13">
        <v>97</v>
      </c>
      <c r="K13" t="b">
        <v>0</v>
      </c>
      <c r="L13" t="s">
        <v>19</v>
      </c>
      <c r="M13" t="s">
        <v>16</v>
      </c>
      <c r="N13">
        <v>6</v>
      </c>
      <c r="O13">
        <v>7</v>
      </c>
    </row>
    <row r="14" spans="1:15" x14ac:dyDescent="0.3">
      <c r="A14">
        <v>16463068</v>
      </c>
      <c r="B14">
        <v>23432821</v>
      </c>
      <c r="C14" t="s">
        <v>17</v>
      </c>
      <c r="D14" s="8">
        <v>98.5</v>
      </c>
      <c r="E14" s="5">
        <v>36.9</v>
      </c>
      <c r="F14">
        <v>121</v>
      </c>
      <c r="G14">
        <v>80</v>
      </c>
      <c r="H14">
        <v>86</v>
      </c>
      <c r="I14">
        <v>18</v>
      </c>
      <c r="J14">
        <v>98</v>
      </c>
      <c r="K14" t="b">
        <v>1</v>
      </c>
      <c r="L14" t="s">
        <v>16</v>
      </c>
      <c r="M14" t="s">
        <v>16</v>
      </c>
      <c r="N14">
        <v>1</v>
      </c>
      <c r="O14">
        <v>2</v>
      </c>
    </row>
    <row r="15" spans="1:15" x14ac:dyDescent="0.3">
      <c r="A15">
        <v>15608579</v>
      </c>
      <c r="B15">
        <v>20320850</v>
      </c>
      <c r="C15" t="s">
        <v>15</v>
      </c>
      <c r="D15" s="7">
        <v>98.2</v>
      </c>
      <c r="E15" s="4">
        <v>36.799999999999997</v>
      </c>
      <c r="F15">
        <v>148</v>
      </c>
      <c r="G15">
        <v>80</v>
      </c>
      <c r="H15">
        <v>85</v>
      </c>
      <c r="I15">
        <v>18</v>
      </c>
      <c r="J15">
        <v>100</v>
      </c>
      <c r="K15" t="b">
        <v>0</v>
      </c>
      <c r="L15" t="s">
        <v>16</v>
      </c>
      <c r="M15" t="s">
        <v>16</v>
      </c>
      <c r="N15">
        <v>1</v>
      </c>
      <c r="O15">
        <v>0</v>
      </c>
    </row>
    <row r="16" spans="1:15" x14ac:dyDescent="0.3">
      <c r="A16">
        <v>15465739</v>
      </c>
      <c r="B16">
        <v>28798031</v>
      </c>
      <c r="C16" t="s">
        <v>18</v>
      </c>
      <c r="D16" s="8">
        <v>99.8</v>
      </c>
      <c r="E16" s="5">
        <v>37.700000000000003</v>
      </c>
      <c r="F16">
        <v>168</v>
      </c>
      <c r="G16">
        <v>73</v>
      </c>
      <c r="H16">
        <v>69</v>
      </c>
      <c r="I16">
        <v>18</v>
      </c>
      <c r="J16">
        <v>98</v>
      </c>
      <c r="K16" t="b">
        <v>0</v>
      </c>
      <c r="L16" t="s">
        <v>19</v>
      </c>
      <c r="M16" t="s">
        <v>16</v>
      </c>
      <c r="N16">
        <v>4</v>
      </c>
      <c r="O16">
        <v>3</v>
      </c>
    </row>
    <row r="17" spans="1:15" x14ac:dyDescent="0.3">
      <c r="A17">
        <v>19836972</v>
      </c>
      <c r="B17">
        <v>25283018</v>
      </c>
      <c r="C17" t="s">
        <v>15</v>
      </c>
      <c r="D17" s="7">
        <v>98.6</v>
      </c>
      <c r="E17" s="4">
        <v>37</v>
      </c>
      <c r="F17">
        <v>149</v>
      </c>
      <c r="G17">
        <v>94</v>
      </c>
      <c r="H17">
        <v>73</v>
      </c>
      <c r="I17">
        <v>14</v>
      </c>
      <c r="J17">
        <v>96</v>
      </c>
      <c r="K17" t="b">
        <v>0</v>
      </c>
      <c r="L17" t="s">
        <v>16</v>
      </c>
      <c r="M17" t="s">
        <v>16</v>
      </c>
      <c r="N17">
        <v>0</v>
      </c>
      <c r="O17">
        <v>0</v>
      </c>
    </row>
    <row r="18" spans="1:15" x14ac:dyDescent="0.3">
      <c r="A18">
        <v>15579720</v>
      </c>
      <c r="B18">
        <v>29717153</v>
      </c>
      <c r="C18" t="s">
        <v>15</v>
      </c>
      <c r="D18" s="8">
        <v>98.6</v>
      </c>
      <c r="E18" s="5">
        <v>37</v>
      </c>
      <c r="F18">
        <v>126</v>
      </c>
      <c r="G18">
        <v>88</v>
      </c>
      <c r="H18">
        <v>81</v>
      </c>
      <c r="I18">
        <v>18</v>
      </c>
      <c r="J18">
        <v>98</v>
      </c>
      <c r="K18" t="b">
        <v>0</v>
      </c>
      <c r="L18" t="s">
        <v>16</v>
      </c>
      <c r="M18" t="s">
        <v>16</v>
      </c>
      <c r="N18">
        <v>1</v>
      </c>
      <c r="O18">
        <v>0</v>
      </c>
    </row>
    <row r="19" spans="1:15" x14ac:dyDescent="0.3">
      <c r="A19">
        <v>16510038</v>
      </c>
      <c r="B19">
        <v>25686639</v>
      </c>
      <c r="C19" t="s">
        <v>18</v>
      </c>
      <c r="D19" s="7">
        <v>98.4</v>
      </c>
      <c r="E19" s="4">
        <v>36.9</v>
      </c>
      <c r="F19">
        <v>167</v>
      </c>
      <c r="G19">
        <v>78</v>
      </c>
      <c r="H19">
        <v>58</v>
      </c>
      <c r="I19">
        <v>16</v>
      </c>
      <c r="J19">
        <v>97</v>
      </c>
      <c r="K19" t="b">
        <v>0</v>
      </c>
      <c r="L19" t="s">
        <v>16</v>
      </c>
      <c r="M19" t="s">
        <v>16</v>
      </c>
      <c r="N19">
        <v>1</v>
      </c>
      <c r="O19">
        <v>0</v>
      </c>
    </row>
    <row r="20" spans="1:15" x14ac:dyDescent="0.3">
      <c r="A20">
        <v>11269805</v>
      </c>
      <c r="B20">
        <v>28220800</v>
      </c>
      <c r="C20" t="s">
        <v>17</v>
      </c>
      <c r="D20" s="8">
        <v>98.6</v>
      </c>
      <c r="E20" s="5">
        <v>37</v>
      </c>
      <c r="F20">
        <v>118</v>
      </c>
      <c r="G20">
        <v>71</v>
      </c>
      <c r="H20">
        <v>100</v>
      </c>
      <c r="I20">
        <v>18</v>
      </c>
      <c r="J20">
        <v>99</v>
      </c>
      <c r="K20" t="b">
        <v>0</v>
      </c>
      <c r="L20" t="s">
        <v>16</v>
      </c>
      <c r="M20" t="s">
        <v>16</v>
      </c>
      <c r="N20">
        <v>1</v>
      </c>
      <c r="O20">
        <v>1</v>
      </c>
    </row>
    <row r="21" spans="1:15" x14ac:dyDescent="0.3">
      <c r="A21">
        <v>12962644</v>
      </c>
      <c r="B21">
        <v>29222575</v>
      </c>
      <c r="C21" t="s">
        <v>17</v>
      </c>
      <c r="D21" s="7">
        <v>98.1</v>
      </c>
      <c r="E21" s="4">
        <v>36.700000000000003</v>
      </c>
      <c r="F21">
        <v>91</v>
      </c>
      <c r="G21">
        <v>57</v>
      </c>
      <c r="H21">
        <v>143</v>
      </c>
      <c r="I21">
        <v>20</v>
      </c>
      <c r="J21">
        <v>99</v>
      </c>
      <c r="K21" t="b">
        <v>1</v>
      </c>
      <c r="L21" t="s">
        <v>20</v>
      </c>
      <c r="M21" t="s">
        <v>20</v>
      </c>
      <c r="N21">
        <v>8</v>
      </c>
      <c r="O21">
        <v>10</v>
      </c>
    </row>
    <row r="22" spans="1:15" x14ac:dyDescent="0.3">
      <c r="A22">
        <v>12375955</v>
      </c>
      <c r="B22">
        <v>24655856</v>
      </c>
      <c r="C22" t="s">
        <v>15</v>
      </c>
      <c r="D22" s="8">
        <v>98.1</v>
      </c>
      <c r="E22" s="5">
        <v>36.700000000000003</v>
      </c>
      <c r="F22">
        <v>175</v>
      </c>
      <c r="G22">
        <v>83</v>
      </c>
      <c r="H22">
        <v>80</v>
      </c>
      <c r="J22">
        <v>100</v>
      </c>
      <c r="K22" t="b">
        <v>0</v>
      </c>
      <c r="L22" t="s">
        <v>16</v>
      </c>
      <c r="M22" t="s">
        <v>16</v>
      </c>
    </row>
    <row r="23" spans="1:15" x14ac:dyDescent="0.3">
      <c r="A23">
        <v>14553360</v>
      </c>
      <c r="B23">
        <v>23839328</v>
      </c>
      <c r="C23" t="s">
        <v>18</v>
      </c>
      <c r="D23" s="7"/>
      <c r="E23" s="4"/>
      <c r="K23" t="b">
        <v>0</v>
      </c>
      <c r="L23" t="s">
        <v>16</v>
      </c>
      <c r="M23" t="s">
        <v>16</v>
      </c>
    </row>
    <row r="24" spans="1:15" x14ac:dyDescent="0.3">
      <c r="A24">
        <v>19829170</v>
      </c>
      <c r="B24">
        <v>27816058</v>
      </c>
      <c r="C24" t="s">
        <v>17</v>
      </c>
      <c r="D24" s="8">
        <v>97.6</v>
      </c>
      <c r="E24" s="5">
        <v>36.4</v>
      </c>
      <c r="F24">
        <v>158</v>
      </c>
      <c r="G24">
        <v>72</v>
      </c>
      <c r="H24">
        <v>86</v>
      </c>
      <c r="I24">
        <v>16</v>
      </c>
      <c r="J24">
        <v>96</v>
      </c>
      <c r="K24" t="b">
        <v>0</v>
      </c>
      <c r="L24" t="s">
        <v>16</v>
      </c>
      <c r="M24" t="s">
        <v>16</v>
      </c>
      <c r="N24">
        <v>1</v>
      </c>
      <c r="O24">
        <v>0</v>
      </c>
    </row>
    <row r="25" spans="1:15" x14ac:dyDescent="0.3">
      <c r="A25">
        <v>12821949</v>
      </c>
      <c r="B25">
        <v>25447276</v>
      </c>
      <c r="C25" t="s">
        <v>15</v>
      </c>
      <c r="D25" s="7">
        <v>97.7</v>
      </c>
      <c r="E25" s="4">
        <v>36.5</v>
      </c>
      <c r="F25">
        <v>141</v>
      </c>
      <c r="G25">
        <v>88</v>
      </c>
      <c r="H25">
        <v>86</v>
      </c>
      <c r="I25">
        <v>16</v>
      </c>
      <c r="J25">
        <v>97</v>
      </c>
      <c r="K25" t="b">
        <v>0</v>
      </c>
      <c r="L25" t="s">
        <v>16</v>
      </c>
      <c r="M25" t="s">
        <v>16</v>
      </c>
      <c r="N25">
        <v>1</v>
      </c>
      <c r="O25">
        <v>0</v>
      </c>
    </row>
    <row r="26" spans="1:15" x14ac:dyDescent="0.3">
      <c r="A26">
        <v>10718572</v>
      </c>
      <c r="B26">
        <v>26973892</v>
      </c>
      <c r="C26" t="s">
        <v>18</v>
      </c>
      <c r="D26" s="8">
        <v>97.7</v>
      </c>
      <c r="E26" s="5">
        <v>36.5</v>
      </c>
      <c r="F26">
        <v>130</v>
      </c>
      <c r="G26">
        <v>71</v>
      </c>
      <c r="H26">
        <v>76</v>
      </c>
      <c r="I26">
        <v>25</v>
      </c>
      <c r="J26">
        <v>91</v>
      </c>
      <c r="K26" t="b">
        <v>1</v>
      </c>
      <c r="L26" t="s">
        <v>16</v>
      </c>
      <c r="M26" t="s">
        <v>16</v>
      </c>
      <c r="N26">
        <v>2</v>
      </c>
      <c r="O26">
        <v>8</v>
      </c>
    </row>
    <row r="27" spans="1:15" x14ac:dyDescent="0.3">
      <c r="A27">
        <v>18016034</v>
      </c>
      <c r="B27">
        <v>26899013</v>
      </c>
      <c r="C27" t="s">
        <v>17</v>
      </c>
      <c r="D27" s="7">
        <v>97.9</v>
      </c>
      <c r="E27" s="4">
        <v>36.6</v>
      </c>
      <c r="F27">
        <v>124</v>
      </c>
      <c r="G27">
        <v>47</v>
      </c>
      <c r="H27">
        <v>87</v>
      </c>
      <c r="I27">
        <v>18</v>
      </c>
      <c r="J27">
        <v>96</v>
      </c>
      <c r="K27" t="b">
        <v>0</v>
      </c>
      <c r="L27" t="s">
        <v>16</v>
      </c>
      <c r="M27" t="s">
        <v>16</v>
      </c>
      <c r="N27">
        <v>1</v>
      </c>
      <c r="O27">
        <v>0</v>
      </c>
    </row>
    <row r="28" spans="1:15" x14ac:dyDescent="0.3">
      <c r="A28">
        <v>16670114</v>
      </c>
      <c r="B28">
        <v>22167354</v>
      </c>
      <c r="C28" t="s">
        <v>15</v>
      </c>
      <c r="D28" s="8"/>
      <c r="E28" s="5"/>
      <c r="K28" t="b">
        <v>0</v>
      </c>
      <c r="L28" t="s">
        <v>16</v>
      </c>
      <c r="M28" t="s">
        <v>16</v>
      </c>
    </row>
    <row r="29" spans="1:15" x14ac:dyDescent="0.3">
      <c r="A29">
        <v>15257559</v>
      </c>
      <c r="B29">
        <v>29077117</v>
      </c>
      <c r="C29" t="s">
        <v>18</v>
      </c>
      <c r="D29" s="7">
        <v>97.7</v>
      </c>
      <c r="E29" s="4">
        <v>36.5</v>
      </c>
      <c r="F29">
        <v>101</v>
      </c>
      <c r="G29">
        <v>64</v>
      </c>
      <c r="H29">
        <v>60</v>
      </c>
      <c r="I29">
        <v>20</v>
      </c>
      <c r="J29">
        <v>98</v>
      </c>
      <c r="K29" t="b">
        <v>0</v>
      </c>
      <c r="L29" t="s">
        <v>16</v>
      </c>
      <c r="M29" t="s">
        <v>16</v>
      </c>
      <c r="N29">
        <v>1</v>
      </c>
      <c r="O29">
        <v>1</v>
      </c>
    </row>
    <row r="30" spans="1:15" x14ac:dyDescent="0.3">
      <c r="A30">
        <v>17937664</v>
      </c>
      <c r="B30">
        <v>21183894</v>
      </c>
      <c r="C30" t="s">
        <v>15</v>
      </c>
      <c r="D30" s="8">
        <v>98.7</v>
      </c>
      <c r="E30" s="5">
        <v>37.1</v>
      </c>
      <c r="F30">
        <v>119</v>
      </c>
      <c r="G30">
        <v>64</v>
      </c>
      <c r="H30">
        <v>93</v>
      </c>
      <c r="I30">
        <v>18</v>
      </c>
      <c r="J30">
        <v>92</v>
      </c>
      <c r="K30" t="b">
        <v>1</v>
      </c>
      <c r="L30" t="s">
        <v>16</v>
      </c>
      <c r="M30" t="s">
        <v>16</v>
      </c>
      <c r="N30">
        <v>1</v>
      </c>
      <c r="O30">
        <v>5</v>
      </c>
    </row>
    <row r="31" spans="1:15" x14ac:dyDescent="0.3">
      <c r="A31">
        <v>10880579</v>
      </c>
      <c r="B31">
        <v>28005020</v>
      </c>
      <c r="C31" t="s">
        <v>18</v>
      </c>
      <c r="D31" s="7">
        <v>98.3</v>
      </c>
      <c r="E31" s="4">
        <v>36.799999999999997</v>
      </c>
      <c r="F31">
        <v>110</v>
      </c>
      <c r="G31">
        <v>66</v>
      </c>
      <c r="H31">
        <v>80</v>
      </c>
      <c r="I31">
        <v>18</v>
      </c>
      <c r="J31">
        <v>98</v>
      </c>
      <c r="K31" t="b">
        <v>0</v>
      </c>
      <c r="L31" t="s">
        <v>16</v>
      </c>
      <c r="M31" t="s">
        <v>16</v>
      </c>
      <c r="N31">
        <v>1</v>
      </c>
      <c r="O31">
        <v>1</v>
      </c>
    </row>
    <row r="32" spans="1:15" x14ac:dyDescent="0.3">
      <c r="A32">
        <v>15923896</v>
      </c>
      <c r="B32">
        <v>23984185</v>
      </c>
      <c r="C32" t="s">
        <v>17</v>
      </c>
      <c r="D32" s="8">
        <v>97.2</v>
      </c>
      <c r="E32" s="5">
        <v>36.200000000000003</v>
      </c>
      <c r="F32">
        <v>112</v>
      </c>
      <c r="G32">
        <v>72</v>
      </c>
      <c r="H32">
        <v>65</v>
      </c>
      <c r="I32">
        <v>16</v>
      </c>
      <c r="J32">
        <v>100</v>
      </c>
      <c r="K32" t="b">
        <v>0</v>
      </c>
      <c r="L32" t="s">
        <v>16</v>
      </c>
      <c r="M32" t="s">
        <v>16</v>
      </c>
      <c r="N32">
        <v>1</v>
      </c>
      <c r="O32">
        <v>0</v>
      </c>
    </row>
    <row r="33" spans="1:15" x14ac:dyDescent="0.3">
      <c r="A33">
        <v>19653772</v>
      </c>
      <c r="B33">
        <v>27235697</v>
      </c>
      <c r="C33" t="s">
        <v>15</v>
      </c>
      <c r="D33" s="7">
        <v>97.5</v>
      </c>
      <c r="E33" s="4">
        <v>36.4</v>
      </c>
      <c r="F33">
        <v>131</v>
      </c>
      <c r="G33">
        <v>81</v>
      </c>
      <c r="H33">
        <v>97</v>
      </c>
      <c r="I33">
        <v>16</v>
      </c>
      <c r="J33">
        <v>99</v>
      </c>
      <c r="K33" t="b">
        <v>0</v>
      </c>
      <c r="L33" t="s">
        <v>16</v>
      </c>
      <c r="M33" t="s">
        <v>16</v>
      </c>
      <c r="N33">
        <v>1</v>
      </c>
      <c r="O33">
        <v>1</v>
      </c>
    </row>
    <row r="34" spans="1:15" x14ac:dyDescent="0.3">
      <c r="A34">
        <v>14144857</v>
      </c>
      <c r="B34">
        <v>25033403</v>
      </c>
      <c r="C34" t="s">
        <v>18</v>
      </c>
      <c r="D34" s="8">
        <v>98</v>
      </c>
      <c r="E34" s="5">
        <v>36.700000000000003</v>
      </c>
      <c r="F34">
        <v>152</v>
      </c>
      <c r="G34">
        <v>82</v>
      </c>
      <c r="H34">
        <v>94</v>
      </c>
      <c r="I34">
        <v>18</v>
      </c>
      <c r="J34">
        <v>96</v>
      </c>
      <c r="K34" t="b">
        <v>1</v>
      </c>
      <c r="L34" t="s">
        <v>16</v>
      </c>
      <c r="M34" t="s">
        <v>16</v>
      </c>
      <c r="N34">
        <v>1</v>
      </c>
      <c r="O34">
        <v>3</v>
      </c>
    </row>
    <row r="35" spans="1:15" x14ac:dyDescent="0.3">
      <c r="A35">
        <v>11793089</v>
      </c>
      <c r="B35">
        <v>24662454</v>
      </c>
      <c r="C35" t="s">
        <v>18</v>
      </c>
      <c r="D35" s="8"/>
      <c r="E35" s="5"/>
      <c r="K35" t="b">
        <v>0</v>
      </c>
      <c r="L35" t="s">
        <v>16</v>
      </c>
      <c r="M35" t="s">
        <v>16</v>
      </c>
    </row>
    <row r="36" spans="1:15" x14ac:dyDescent="0.3">
      <c r="A36">
        <v>15394326</v>
      </c>
      <c r="B36">
        <v>29235370</v>
      </c>
      <c r="C36" t="s">
        <v>15</v>
      </c>
      <c r="D36" s="7">
        <v>97.9</v>
      </c>
      <c r="E36" s="4">
        <v>36.6</v>
      </c>
      <c r="F36">
        <v>147</v>
      </c>
      <c r="G36">
        <v>91</v>
      </c>
      <c r="H36">
        <v>98</v>
      </c>
      <c r="I36">
        <v>18</v>
      </c>
      <c r="J36">
        <v>98</v>
      </c>
      <c r="K36" t="b">
        <v>1</v>
      </c>
      <c r="L36" t="s">
        <v>16</v>
      </c>
      <c r="M36" t="s">
        <v>16</v>
      </c>
      <c r="N36">
        <v>1</v>
      </c>
      <c r="O36">
        <v>3</v>
      </c>
    </row>
    <row r="37" spans="1:15" x14ac:dyDescent="0.3">
      <c r="A37">
        <v>16548967</v>
      </c>
      <c r="B37">
        <v>25641035</v>
      </c>
      <c r="C37" t="s">
        <v>15</v>
      </c>
      <c r="D37" s="8">
        <v>96.6</v>
      </c>
      <c r="E37" s="5">
        <v>35.9</v>
      </c>
      <c r="F37">
        <v>126</v>
      </c>
      <c r="G37">
        <v>66</v>
      </c>
      <c r="H37">
        <v>84</v>
      </c>
      <c r="I37">
        <v>18</v>
      </c>
      <c r="J37">
        <v>98</v>
      </c>
      <c r="K37" t="b">
        <v>0</v>
      </c>
      <c r="L37" t="s">
        <v>19</v>
      </c>
      <c r="M37" t="s">
        <v>16</v>
      </c>
      <c r="N37">
        <v>4</v>
      </c>
      <c r="O37">
        <v>4</v>
      </c>
    </row>
    <row r="38" spans="1:15" x14ac:dyDescent="0.3">
      <c r="A38">
        <v>19494598</v>
      </c>
      <c r="B38">
        <v>21234550</v>
      </c>
      <c r="C38" t="s">
        <v>17</v>
      </c>
      <c r="D38" s="7">
        <v>97.8</v>
      </c>
      <c r="E38" s="4">
        <v>36.6</v>
      </c>
      <c r="F38">
        <v>148</v>
      </c>
      <c r="G38">
        <v>78</v>
      </c>
      <c r="H38">
        <v>86</v>
      </c>
      <c r="I38">
        <v>18</v>
      </c>
      <c r="J38">
        <v>97</v>
      </c>
      <c r="K38" t="b">
        <v>0</v>
      </c>
      <c r="L38" t="s">
        <v>16</v>
      </c>
      <c r="M38" t="s">
        <v>16</v>
      </c>
      <c r="N38">
        <v>1</v>
      </c>
      <c r="O38">
        <v>0</v>
      </c>
    </row>
    <row r="39" spans="1:15" x14ac:dyDescent="0.3">
      <c r="A39">
        <v>16544722</v>
      </c>
      <c r="B39">
        <v>21288439</v>
      </c>
      <c r="C39" t="s">
        <v>17</v>
      </c>
      <c r="D39" s="7">
        <v>98.5</v>
      </c>
      <c r="E39" s="4">
        <v>36.9</v>
      </c>
      <c r="F39">
        <v>156</v>
      </c>
      <c r="G39">
        <v>83</v>
      </c>
      <c r="H39">
        <v>104</v>
      </c>
      <c r="I39">
        <v>20</v>
      </c>
      <c r="J39">
        <v>96</v>
      </c>
      <c r="K39" t="b">
        <v>1</v>
      </c>
      <c r="L39" t="s">
        <v>16</v>
      </c>
      <c r="M39" t="s">
        <v>16</v>
      </c>
      <c r="N39">
        <v>2</v>
      </c>
      <c r="O39">
        <v>3</v>
      </c>
    </row>
    <row r="40" spans="1:15" x14ac:dyDescent="0.3">
      <c r="A40">
        <v>15224401</v>
      </c>
      <c r="B40">
        <v>22189034</v>
      </c>
      <c r="C40" t="s">
        <v>17</v>
      </c>
      <c r="D40" s="8">
        <v>97.4</v>
      </c>
      <c r="E40" s="5">
        <v>36.299999999999997</v>
      </c>
      <c r="F40">
        <v>175</v>
      </c>
      <c r="G40">
        <v>73</v>
      </c>
      <c r="H40">
        <v>58</v>
      </c>
      <c r="I40">
        <v>17</v>
      </c>
      <c r="J40">
        <v>100</v>
      </c>
      <c r="K40" t="b">
        <v>0</v>
      </c>
      <c r="L40" t="s">
        <v>19</v>
      </c>
      <c r="M40" t="s">
        <v>16</v>
      </c>
      <c r="N40">
        <v>4</v>
      </c>
      <c r="O40">
        <v>3</v>
      </c>
    </row>
    <row r="41" spans="1:15" x14ac:dyDescent="0.3">
      <c r="A41">
        <v>14014677</v>
      </c>
      <c r="B41">
        <v>26813590</v>
      </c>
      <c r="C41" t="s">
        <v>18</v>
      </c>
      <c r="D41" s="7">
        <v>98.8</v>
      </c>
      <c r="E41" s="4">
        <v>37.1</v>
      </c>
      <c r="F41">
        <v>134</v>
      </c>
      <c r="G41">
        <v>58</v>
      </c>
      <c r="H41">
        <v>80</v>
      </c>
      <c r="I41">
        <v>16</v>
      </c>
      <c r="J41">
        <v>94</v>
      </c>
      <c r="K41" t="b">
        <v>0</v>
      </c>
      <c r="L41" t="s">
        <v>16</v>
      </c>
      <c r="M41" t="s">
        <v>16</v>
      </c>
      <c r="N41">
        <v>1</v>
      </c>
      <c r="O41">
        <v>1</v>
      </c>
    </row>
    <row r="42" spans="1:15" x14ac:dyDescent="0.3">
      <c r="A42">
        <v>14895938</v>
      </c>
      <c r="B42">
        <v>20028125</v>
      </c>
      <c r="C42" t="s">
        <v>15</v>
      </c>
      <c r="D42" s="8">
        <v>98.2</v>
      </c>
      <c r="E42" s="5">
        <v>36.799999999999997</v>
      </c>
      <c r="F42">
        <v>146</v>
      </c>
      <c r="G42">
        <v>90</v>
      </c>
      <c r="H42">
        <v>90</v>
      </c>
      <c r="I42">
        <v>18</v>
      </c>
      <c r="J42">
        <v>99</v>
      </c>
      <c r="K42" t="b">
        <v>0</v>
      </c>
      <c r="L42" t="s">
        <v>16</v>
      </c>
      <c r="M42" t="s">
        <v>16</v>
      </c>
      <c r="N42">
        <v>1</v>
      </c>
      <c r="O42">
        <v>0</v>
      </c>
    </row>
    <row r="43" spans="1:15" x14ac:dyDescent="0.3">
      <c r="A43">
        <v>12148311</v>
      </c>
      <c r="B43">
        <v>25121729</v>
      </c>
      <c r="C43" t="s">
        <v>18</v>
      </c>
      <c r="D43" s="7">
        <v>98.1</v>
      </c>
      <c r="E43" s="4">
        <v>36.700000000000003</v>
      </c>
      <c r="F43">
        <v>90</v>
      </c>
      <c r="G43">
        <v>52</v>
      </c>
      <c r="H43">
        <v>55</v>
      </c>
      <c r="I43">
        <v>16</v>
      </c>
      <c r="J43">
        <v>98</v>
      </c>
      <c r="K43" t="b">
        <v>0</v>
      </c>
      <c r="L43" t="s">
        <v>16</v>
      </c>
      <c r="M43" t="s">
        <v>16</v>
      </c>
      <c r="N43">
        <v>2</v>
      </c>
      <c r="O43">
        <v>3</v>
      </c>
    </row>
    <row r="44" spans="1:15" x14ac:dyDescent="0.3">
      <c r="A44">
        <v>10633199</v>
      </c>
      <c r="B44">
        <v>26255933</v>
      </c>
      <c r="C44" t="s">
        <v>15</v>
      </c>
      <c r="D44" s="7">
        <v>98.6</v>
      </c>
      <c r="E44" s="4">
        <v>37</v>
      </c>
      <c r="F44">
        <v>108</v>
      </c>
      <c r="G44">
        <v>62</v>
      </c>
      <c r="H44">
        <v>102</v>
      </c>
      <c r="I44">
        <v>18</v>
      </c>
      <c r="J44">
        <v>100</v>
      </c>
      <c r="K44" t="b">
        <v>1</v>
      </c>
      <c r="L44" t="s">
        <v>21</v>
      </c>
      <c r="M44" t="s">
        <v>21</v>
      </c>
      <c r="N44">
        <v>4</v>
      </c>
      <c r="O44">
        <v>7</v>
      </c>
    </row>
    <row r="45" spans="1:15" x14ac:dyDescent="0.3">
      <c r="A45">
        <v>17894956</v>
      </c>
      <c r="B45">
        <v>23254022</v>
      </c>
      <c r="C45" t="s">
        <v>18</v>
      </c>
      <c r="D45" s="8">
        <v>33.5</v>
      </c>
      <c r="E45" s="5">
        <v>33.5</v>
      </c>
      <c r="F45">
        <v>115</v>
      </c>
      <c r="G45">
        <v>71</v>
      </c>
      <c r="H45">
        <v>60</v>
      </c>
      <c r="I45">
        <v>18</v>
      </c>
      <c r="J45">
        <v>100</v>
      </c>
      <c r="K45" t="b">
        <v>1</v>
      </c>
      <c r="L45" t="s">
        <v>20</v>
      </c>
      <c r="M45" t="s">
        <v>20</v>
      </c>
      <c r="N45">
        <v>6</v>
      </c>
      <c r="O45">
        <v>8</v>
      </c>
    </row>
    <row r="46" spans="1:15" x14ac:dyDescent="0.3">
      <c r="A46">
        <v>11230488</v>
      </c>
      <c r="B46">
        <v>20585940</v>
      </c>
      <c r="C46" t="s">
        <v>15</v>
      </c>
      <c r="D46" s="7">
        <v>97</v>
      </c>
      <c r="E46" s="4">
        <v>36.1</v>
      </c>
      <c r="F46">
        <v>137</v>
      </c>
      <c r="G46">
        <v>87</v>
      </c>
      <c r="H46">
        <v>77</v>
      </c>
      <c r="I46">
        <v>16</v>
      </c>
      <c r="J46">
        <v>99</v>
      </c>
      <c r="K46" t="b">
        <v>0</v>
      </c>
      <c r="L46" t="s">
        <v>16</v>
      </c>
      <c r="M46" t="s">
        <v>16</v>
      </c>
      <c r="N46">
        <v>1</v>
      </c>
      <c r="O46">
        <v>0</v>
      </c>
    </row>
    <row r="47" spans="1:15" x14ac:dyDescent="0.3">
      <c r="A47">
        <v>19334764</v>
      </c>
      <c r="B47">
        <v>27441274</v>
      </c>
      <c r="C47" t="s">
        <v>18</v>
      </c>
      <c r="D47" s="8">
        <v>97</v>
      </c>
      <c r="E47" s="5">
        <v>36.1</v>
      </c>
      <c r="I47">
        <v>20</v>
      </c>
      <c r="J47">
        <v>96</v>
      </c>
      <c r="K47" t="b">
        <v>0</v>
      </c>
      <c r="L47" t="s">
        <v>16</v>
      </c>
      <c r="M47" t="s">
        <v>16</v>
      </c>
    </row>
    <row r="48" spans="1:15" x14ac:dyDescent="0.3">
      <c r="A48">
        <v>16453787</v>
      </c>
      <c r="B48">
        <v>21156407</v>
      </c>
      <c r="C48" t="s">
        <v>18</v>
      </c>
      <c r="D48" s="7">
        <v>98</v>
      </c>
      <c r="E48" s="4">
        <v>36.700000000000003</v>
      </c>
      <c r="F48">
        <v>154</v>
      </c>
      <c r="G48">
        <v>76</v>
      </c>
      <c r="H48">
        <v>120</v>
      </c>
      <c r="I48">
        <v>24</v>
      </c>
      <c r="J48">
        <v>100</v>
      </c>
      <c r="K48" t="b">
        <v>1</v>
      </c>
      <c r="L48" t="s">
        <v>16</v>
      </c>
      <c r="M48" t="s">
        <v>16</v>
      </c>
      <c r="N48">
        <v>4</v>
      </c>
      <c r="O48">
        <v>6</v>
      </c>
    </row>
    <row r="49" spans="1:15" x14ac:dyDescent="0.3">
      <c r="A49">
        <v>19664531</v>
      </c>
      <c r="B49">
        <v>27556997</v>
      </c>
      <c r="C49" t="s">
        <v>18</v>
      </c>
      <c r="D49" s="8"/>
      <c r="E49" s="5"/>
      <c r="K49" t="b">
        <v>0</v>
      </c>
      <c r="L49" t="s">
        <v>16</v>
      </c>
      <c r="M49" t="s">
        <v>16</v>
      </c>
    </row>
    <row r="50" spans="1:15" x14ac:dyDescent="0.3">
      <c r="A50">
        <v>15767642</v>
      </c>
      <c r="B50">
        <v>26994406</v>
      </c>
      <c r="C50" t="s">
        <v>18</v>
      </c>
      <c r="D50" s="7">
        <v>98.1</v>
      </c>
      <c r="E50" s="4">
        <v>36.700000000000003</v>
      </c>
      <c r="F50">
        <v>107</v>
      </c>
      <c r="G50">
        <v>75</v>
      </c>
      <c r="H50">
        <v>87</v>
      </c>
      <c r="I50">
        <v>18</v>
      </c>
      <c r="J50">
        <v>97</v>
      </c>
      <c r="K50" t="b">
        <v>0</v>
      </c>
      <c r="L50" t="s">
        <v>16</v>
      </c>
      <c r="M50" t="s">
        <v>16</v>
      </c>
      <c r="N50">
        <v>1</v>
      </c>
      <c r="O50">
        <v>1</v>
      </c>
    </row>
    <row r="51" spans="1:15" x14ac:dyDescent="0.3">
      <c r="A51">
        <v>15476899</v>
      </c>
      <c r="B51">
        <v>29653022</v>
      </c>
      <c r="C51" t="s">
        <v>17</v>
      </c>
      <c r="D51" s="8"/>
      <c r="E51" s="5"/>
      <c r="K51" t="b">
        <v>0</v>
      </c>
      <c r="L51" t="s">
        <v>16</v>
      </c>
      <c r="M51" t="s">
        <v>16</v>
      </c>
    </row>
    <row r="52" spans="1:15" x14ac:dyDescent="0.3">
      <c r="A52">
        <v>10534761</v>
      </c>
      <c r="B52">
        <v>25267618</v>
      </c>
      <c r="C52" t="s">
        <v>15</v>
      </c>
      <c r="D52" s="8">
        <v>98.5</v>
      </c>
      <c r="E52" s="5">
        <v>36.9</v>
      </c>
      <c r="F52">
        <v>130</v>
      </c>
      <c r="G52">
        <v>84</v>
      </c>
      <c r="H52">
        <v>85</v>
      </c>
      <c r="I52">
        <v>16</v>
      </c>
      <c r="J52">
        <v>97</v>
      </c>
      <c r="K52" t="b">
        <v>0</v>
      </c>
      <c r="L52" t="s">
        <v>16</v>
      </c>
      <c r="M52" t="s">
        <v>16</v>
      </c>
      <c r="N52">
        <v>1</v>
      </c>
      <c r="O52">
        <v>0</v>
      </c>
    </row>
    <row r="53" spans="1:15" x14ac:dyDescent="0.3">
      <c r="A53">
        <v>10339845</v>
      </c>
      <c r="B53">
        <v>25511006</v>
      </c>
      <c r="C53" t="s">
        <v>18</v>
      </c>
      <c r="D53" s="7">
        <v>97.7</v>
      </c>
      <c r="E53" s="4">
        <v>36.5</v>
      </c>
      <c r="F53">
        <v>118</v>
      </c>
      <c r="G53">
        <v>77</v>
      </c>
      <c r="H53">
        <v>60</v>
      </c>
      <c r="I53">
        <v>18</v>
      </c>
      <c r="J53">
        <v>98</v>
      </c>
      <c r="K53" t="b">
        <v>0</v>
      </c>
      <c r="L53" t="s">
        <v>16</v>
      </c>
      <c r="M53" t="s">
        <v>16</v>
      </c>
      <c r="N53">
        <v>1</v>
      </c>
      <c r="O53">
        <v>0</v>
      </c>
    </row>
    <row r="54" spans="1:15" x14ac:dyDescent="0.3">
      <c r="A54">
        <v>12745171</v>
      </c>
      <c r="B54">
        <v>28708076</v>
      </c>
      <c r="C54" t="s">
        <v>15</v>
      </c>
      <c r="D54" s="8">
        <v>99.1</v>
      </c>
      <c r="E54" s="5">
        <v>37.299999999999997</v>
      </c>
      <c r="F54">
        <v>153</v>
      </c>
      <c r="G54">
        <v>53</v>
      </c>
      <c r="H54">
        <v>66</v>
      </c>
      <c r="I54">
        <v>19</v>
      </c>
      <c r="J54">
        <v>97.5</v>
      </c>
      <c r="K54" t="b">
        <v>0</v>
      </c>
      <c r="L54" t="s">
        <v>16</v>
      </c>
      <c r="M54" t="s">
        <v>16</v>
      </c>
      <c r="N54">
        <v>1</v>
      </c>
      <c r="O54">
        <v>0</v>
      </c>
    </row>
    <row r="55" spans="1:15" x14ac:dyDescent="0.3">
      <c r="A55">
        <v>18690742</v>
      </c>
      <c r="B55">
        <v>23566255</v>
      </c>
      <c r="C55" t="s">
        <v>17</v>
      </c>
      <c r="D55" s="7">
        <v>97.7</v>
      </c>
      <c r="E55" s="4">
        <v>36.5</v>
      </c>
      <c r="F55">
        <v>122</v>
      </c>
      <c r="G55">
        <v>49</v>
      </c>
      <c r="H55">
        <v>122</v>
      </c>
      <c r="I55">
        <v>18</v>
      </c>
      <c r="J55">
        <v>100</v>
      </c>
      <c r="K55" t="b">
        <v>1</v>
      </c>
      <c r="L55" t="s">
        <v>16</v>
      </c>
      <c r="M55" t="s">
        <v>16</v>
      </c>
      <c r="N55">
        <v>3</v>
      </c>
      <c r="O55">
        <v>4</v>
      </c>
    </row>
    <row r="56" spans="1:15" x14ac:dyDescent="0.3">
      <c r="A56">
        <v>17571262</v>
      </c>
      <c r="B56">
        <v>24551970</v>
      </c>
      <c r="C56" t="s">
        <v>15</v>
      </c>
      <c r="D56" s="8"/>
      <c r="E56" s="5"/>
      <c r="K56" t="b">
        <v>0</v>
      </c>
      <c r="L56" t="s">
        <v>16</v>
      </c>
      <c r="M56" t="s">
        <v>16</v>
      </c>
    </row>
    <row r="57" spans="1:15" x14ac:dyDescent="0.3">
      <c r="A57">
        <v>14286075</v>
      </c>
      <c r="B57">
        <v>25221596</v>
      </c>
      <c r="C57" t="s">
        <v>17</v>
      </c>
      <c r="D57" s="7">
        <v>97.7</v>
      </c>
      <c r="E57" s="4">
        <v>36.5</v>
      </c>
      <c r="F57">
        <v>126</v>
      </c>
      <c r="G57">
        <v>50</v>
      </c>
      <c r="H57">
        <v>90</v>
      </c>
      <c r="I57">
        <v>20</v>
      </c>
      <c r="J57">
        <v>94</v>
      </c>
      <c r="K57" t="b">
        <v>0</v>
      </c>
      <c r="L57" t="s">
        <v>16</v>
      </c>
      <c r="M57" t="s">
        <v>16</v>
      </c>
      <c r="N57">
        <v>1</v>
      </c>
      <c r="O57">
        <v>1</v>
      </c>
    </row>
    <row r="58" spans="1:15" x14ac:dyDescent="0.3">
      <c r="A58">
        <v>16279137</v>
      </c>
      <c r="B58">
        <v>22172034</v>
      </c>
      <c r="C58" t="s">
        <v>15</v>
      </c>
      <c r="D58" s="8">
        <v>97.9</v>
      </c>
      <c r="E58" s="5">
        <v>36.6</v>
      </c>
      <c r="F58">
        <v>131</v>
      </c>
      <c r="G58">
        <v>53</v>
      </c>
      <c r="H58">
        <v>60</v>
      </c>
      <c r="I58">
        <v>16</v>
      </c>
      <c r="J58">
        <v>100</v>
      </c>
      <c r="K58" t="b">
        <v>0</v>
      </c>
      <c r="L58" t="s">
        <v>16</v>
      </c>
      <c r="M58" t="s">
        <v>16</v>
      </c>
      <c r="N58">
        <v>1</v>
      </c>
      <c r="O58">
        <v>0</v>
      </c>
    </row>
    <row r="59" spans="1:15" x14ac:dyDescent="0.3">
      <c r="A59">
        <v>17005340</v>
      </c>
      <c r="B59">
        <v>23737798</v>
      </c>
      <c r="C59" t="s">
        <v>15</v>
      </c>
      <c r="D59" s="8"/>
      <c r="E59" s="5"/>
      <c r="K59" t="b">
        <v>0</v>
      </c>
      <c r="L59" t="s">
        <v>16</v>
      </c>
      <c r="M59" t="s">
        <v>16</v>
      </c>
    </row>
    <row r="60" spans="1:15" x14ac:dyDescent="0.3">
      <c r="A60">
        <v>18606401</v>
      </c>
      <c r="B60">
        <v>27563676</v>
      </c>
      <c r="C60" t="s">
        <v>17</v>
      </c>
      <c r="D60" s="7"/>
      <c r="E60" s="4"/>
      <c r="K60" t="b">
        <v>0</v>
      </c>
      <c r="L60" t="s">
        <v>16</v>
      </c>
      <c r="M60" t="s">
        <v>16</v>
      </c>
    </row>
    <row r="61" spans="1:15" x14ac:dyDescent="0.3">
      <c r="A61">
        <v>18131667</v>
      </c>
      <c r="B61">
        <v>28337235</v>
      </c>
      <c r="C61" t="s">
        <v>15</v>
      </c>
      <c r="D61" s="8">
        <v>99.8</v>
      </c>
      <c r="E61" s="5">
        <v>37.700000000000003</v>
      </c>
      <c r="F61">
        <v>104</v>
      </c>
      <c r="G61">
        <v>64</v>
      </c>
      <c r="H61">
        <v>93</v>
      </c>
      <c r="I61">
        <v>18</v>
      </c>
      <c r="J61">
        <v>98</v>
      </c>
      <c r="K61" t="b">
        <v>0</v>
      </c>
      <c r="L61" t="s">
        <v>16</v>
      </c>
      <c r="M61" t="s">
        <v>16</v>
      </c>
      <c r="N61">
        <v>1</v>
      </c>
      <c r="O61">
        <v>2</v>
      </c>
    </row>
    <row r="62" spans="1:15" x14ac:dyDescent="0.3">
      <c r="A62">
        <v>14130788</v>
      </c>
      <c r="B62">
        <v>24283646</v>
      </c>
      <c r="C62" t="s">
        <v>15</v>
      </c>
      <c r="D62" s="7">
        <v>98.6</v>
      </c>
      <c r="E62" s="4">
        <v>37</v>
      </c>
      <c r="F62">
        <v>152</v>
      </c>
      <c r="G62">
        <v>65</v>
      </c>
      <c r="H62">
        <v>97</v>
      </c>
      <c r="I62">
        <v>18</v>
      </c>
      <c r="J62">
        <v>92</v>
      </c>
      <c r="K62" t="b">
        <v>0</v>
      </c>
      <c r="L62" t="s">
        <v>16</v>
      </c>
      <c r="M62" t="s">
        <v>16</v>
      </c>
      <c r="N62">
        <v>1</v>
      </c>
      <c r="O62">
        <v>3</v>
      </c>
    </row>
    <row r="63" spans="1:15" x14ac:dyDescent="0.3">
      <c r="A63">
        <v>17129688</v>
      </c>
      <c r="B63">
        <v>21342275</v>
      </c>
      <c r="C63" t="s">
        <v>17</v>
      </c>
      <c r="D63" s="8">
        <v>99.3</v>
      </c>
      <c r="E63" s="5">
        <v>37.4</v>
      </c>
      <c r="F63">
        <v>137</v>
      </c>
      <c r="G63">
        <v>80</v>
      </c>
      <c r="H63">
        <v>108</v>
      </c>
      <c r="I63">
        <v>22</v>
      </c>
      <c r="J63">
        <v>97</v>
      </c>
      <c r="K63" t="b">
        <v>1</v>
      </c>
      <c r="L63" t="s">
        <v>16</v>
      </c>
      <c r="M63" t="s">
        <v>16</v>
      </c>
      <c r="N63">
        <v>3</v>
      </c>
      <c r="O63">
        <v>5</v>
      </c>
    </row>
    <row r="64" spans="1:15" x14ac:dyDescent="0.3">
      <c r="A64">
        <v>14878442</v>
      </c>
      <c r="B64">
        <v>21780881</v>
      </c>
      <c r="C64" t="s">
        <v>17</v>
      </c>
      <c r="D64" s="7">
        <v>96.5</v>
      </c>
      <c r="E64" s="4">
        <v>35.799999999999997</v>
      </c>
      <c r="F64">
        <v>101</v>
      </c>
      <c r="G64">
        <v>71</v>
      </c>
      <c r="H64">
        <v>73</v>
      </c>
      <c r="I64">
        <v>18</v>
      </c>
      <c r="J64">
        <v>100</v>
      </c>
      <c r="K64" t="b">
        <v>0</v>
      </c>
      <c r="L64" t="s">
        <v>22</v>
      </c>
      <c r="M64" t="s">
        <v>22</v>
      </c>
      <c r="N64">
        <v>2</v>
      </c>
      <c r="O64">
        <v>5</v>
      </c>
    </row>
    <row r="65" spans="1:15" x14ac:dyDescent="0.3">
      <c r="A65">
        <v>14029260</v>
      </c>
      <c r="B65">
        <v>28257730</v>
      </c>
      <c r="C65" t="s">
        <v>17</v>
      </c>
      <c r="D65" s="8">
        <v>98.6</v>
      </c>
      <c r="E65" s="5">
        <v>37</v>
      </c>
      <c r="F65">
        <v>118</v>
      </c>
      <c r="G65">
        <v>70</v>
      </c>
      <c r="H65">
        <v>55</v>
      </c>
      <c r="I65">
        <v>18</v>
      </c>
      <c r="J65">
        <v>100</v>
      </c>
      <c r="K65" t="b">
        <v>0</v>
      </c>
      <c r="L65" t="s">
        <v>16</v>
      </c>
      <c r="M65" t="s">
        <v>16</v>
      </c>
      <c r="N65">
        <v>1</v>
      </c>
      <c r="O65">
        <v>0</v>
      </c>
    </row>
    <row r="66" spans="1:15" x14ac:dyDescent="0.3">
      <c r="A66">
        <v>19822093</v>
      </c>
      <c r="B66">
        <v>23960903</v>
      </c>
      <c r="C66" t="s">
        <v>15</v>
      </c>
      <c r="D66" s="7">
        <v>97.9</v>
      </c>
      <c r="E66" s="4">
        <v>36.6</v>
      </c>
      <c r="F66">
        <v>129</v>
      </c>
      <c r="G66">
        <v>80</v>
      </c>
      <c r="H66">
        <v>109</v>
      </c>
      <c r="I66">
        <v>18</v>
      </c>
      <c r="J66">
        <v>99</v>
      </c>
      <c r="K66" t="b">
        <v>0</v>
      </c>
      <c r="L66" t="s">
        <v>16</v>
      </c>
      <c r="M66" t="s">
        <v>16</v>
      </c>
      <c r="N66">
        <v>2</v>
      </c>
      <c r="O66">
        <v>1</v>
      </c>
    </row>
    <row r="67" spans="1:15" x14ac:dyDescent="0.3">
      <c r="A67">
        <v>14245215</v>
      </c>
      <c r="B67">
        <v>26742807</v>
      </c>
      <c r="C67" t="s">
        <v>17</v>
      </c>
      <c r="D67" s="8">
        <v>97</v>
      </c>
      <c r="E67" s="5">
        <v>36.1</v>
      </c>
      <c r="F67">
        <v>103</v>
      </c>
      <c r="G67">
        <v>64</v>
      </c>
      <c r="H67">
        <v>78</v>
      </c>
      <c r="I67">
        <v>18</v>
      </c>
      <c r="J67">
        <v>94</v>
      </c>
      <c r="K67" t="b">
        <v>1</v>
      </c>
      <c r="L67" t="s">
        <v>22</v>
      </c>
      <c r="M67" t="s">
        <v>22</v>
      </c>
      <c r="N67">
        <v>2</v>
      </c>
      <c r="O67">
        <v>7</v>
      </c>
    </row>
    <row r="68" spans="1:15" x14ac:dyDescent="0.3">
      <c r="A68">
        <v>15259244</v>
      </c>
      <c r="B68">
        <v>21969255</v>
      </c>
      <c r="C68" t="s">
        <v>15</v>
      </c>
      <c r="D68" s="7">
        <v>99.2</v>
      </c>
      <c r="E68" s="4">
        <v>37.299999999999997</v>
      </c>
      <c r="F68">
        <v>117</v>
      </c>
      <c r="G68">
        <v>60</v>
      </c>
      <c r="H68">
        <v>94</v>
      </c>
      <c r="I68">
        <v>18</v>
      </c>
      <c r="J68">
        <v>100</v>
      </c>
      <c r="K68" t="b">
        <v>1</v>
      </c>
      <c r="L68" t="s">
        <v>22</v>
      </c>
      <c r="M68" t="s">
        <v>22</v>
      </c>
      <c r="N68">
        <v>2</v>
      </c>
      <c r="O68">
        <v>6</v>
      </c>
    </row>
    <row r="69" spans="1:15" x14ac:dyDescent="0.3">
      <c r="A69">
        <v>19624947</v>
      </c>
      <c r="B69">
        <v>24536817</v>
      </c>
      <c r="C69" t="s">
        <v>17</v>
      </c>
      <c r="D69" s="8">
        <v>97.3</v>
      </c>
      <c r="E69" s="5">
        <v>36.299999999999997</v>
      </c>
      <c r="F69">
        <v>110</v>
      </c>
      <c r="G69">
        <v>63</v>
      </c>
      <c r="H69">
        <v>53</v>
      </c>
      <c r="I69">
        <v>16</v>
      </c>
      <c r="J69">
        <v>100</v>
      </c>
      <c r="K69" t="b">
        <v>0</v>
      </c>
      <c r="L69" t="s">
        <v>16</v>
      </c>
      <c r="M69" t="s">
        <v>16</v>
      </c>
      <c r="N69">
        <v>1</v>
      </c>
      <c r="O69">
        <v>1</v>
      </c>
    </row>
    <row r="70" spans="1:15" x14ac:dyDescent="0.3">
      <c r="A70">
        <v>13210648</v>
      </c>
      <c r="B70">
        <v>25658850</v>
      </c>
      <c r="C70" t="s">
        <v>15</v>
      </c>
      <c r="D70" s="7">
        <v>98.3</v>
      </c>
      <c r="E70" s="4">
        <v>36.799999999999997</v>
      </c>
      <c r="F70">
        <v>116</v>
      </c>
      <c r="G70">
        <v>62</v>
      </c>
      <c r="H70">
        <v>88</v>
      </c>
      <c r="I70">
        <v>18</v>
      </c>
      <c r="J70">
        <v>96</v>
      </c>
      <c r="K70" t="b">
        <v>0</v>
      </c>
      <c r="L70" t="s">
        <v>16</v>
      </c>
      <c r="M70" t="s">
        <v>16</v>
      </c>
      <c r="N70">
        <v>1</v>
      </c>
      <c r="O70">
        <v>0</v>
      </c>
    </row>
    <row r="71" spans="1:15" x14ac:dyDescent="0.3">
      <c r="A71">
        <v>12145581</v>
      </c>
      <c r="B71">
        <v>22326950</v>
      </c>
      <c r="C71" t="s">
        <v>17</v>
      </c>
      <c r="D71" s="8">
        <v>97.5</v>
      </c>
      <c r="E71" s="5">
        <v>36.4</v>
      </c>
      <c r="F71">
        <v>98</v>
      </c>
      <c r="G71">
        <v>57</v>
      </c>
      <c r="H71">
        <v>112</v>
      </c>
      <c r="I71">
        <v>17</v>
      </c>
      <c r="J71">
        <v>90</v>
      </c>
      <c r="K71" t="b">
        <v>0</v>
      </c>
      <c r="L71" t="s">
        <v>16</v>
      </c>
      <c r="M71" t="s">
        <v>16</v>
      </c>
      <c r="N71">
        <v>4</v>
      </c>
      <c r="O71">
        <v>7</v>
      </c>
    </row>
    <row r="72" spans="1:15" x14ac:dyDescent="0.3">
      <c r="A72">
        <v>16459432</v>
      </c>
      <c r="B72">
        <v>26878246</v>
      </c>
      <c r="C72" t="s">
        <v>15</v>
      </c>
      <c r="D72" s="7">
        <v>97.7</v>
      </c>
      <c r="E72" s="4">
        <v>36.5</v>
      </c>
      <c r="F72">
        <v>144</v>
      </c>
      <c r="G72">
        <v>86</v>
      </c>
      <c r="H72">
        <v>98</v>
      </c>
      <c r="I72">
        <v>18</v>
      </c>
      <c r="J72">
        <v>100</v>
      </c>
      <c r="K72" t="b">
        <v>1</v>
      </c>
      <c r="L72" t="s">
        <v>16</v>
      </c>
      <c r="M72" t="s">
        <v>16</v>
      </c>
      <c r="N72">
        <v>1</v>
      </c>
      <c r="O72">
        <v>3</v>
      </c>
    </row>
    <row r="73" spans="1:15" x14ac:dyDescent="0.3">
      <c r="A73">
        <v>10713920</v>
      </c>
      <c r="B73">
        <v>23293919</v>
      </c>
      <c r="C73" t="s">
        <v>15</v>
      </c>
      <c r="D73" s="8">
        <v>97.9</v>
      </c>
      <c r="E73" s="5">
        <v>36.6</v>
      </c>
      <c r="F73">
        <v>135</v>
      </c>
      <c r="G73">
        <v>70</v>
      </c>
      <c r="H73">
        <v>73</v>
      </c>
      <c r="I73">
        <v>18</v>
      </c>
      <c r="J73">
        <v>98</v>
      </c>
      <c r="K73" t="b">
        <v>1</v>
      </c>
      <c r="L73" t="s">
        <v>16</v>
      </c>
      <c r="M73" t="s">
        <v>16</v>
      </c>
      <c r="N73">
        <v>1</v>
      </c>
      <c r="O73">
        <v>2</v>
      </c>
    </row>
    <row r="74" spans="1:15" x14ac:dyDescent="0.3">
      <c r="A74">
        <v>12864005</v>
      </c>
      <c r="B74">
        <v>24615304</v>
      </c>
      <c r="C74" t="s">
        <v>17</v>
      </c>
      <c r="D74" s="7"/>
      <c r="E74" s="4"/>
      <c r="K74" t="b">
        <v>0</v>
      </c>
      <c r="L74" t="s">
        <v>16</v>
      </c>
      <c r="M74" t="s">
        <v>16</v>
      </c>
    </row>
    <row r="75" spans="1:15" x14ac:dyDescent="0.3">
      <c r="A75">
        <v>19649250</v>
      </c>
      <c r="B75">
        <v>25759848</v>
      </c>
      <c r="C75" t="s">
        <v>18</v>
      </c>
      <c r="D75" s="7">
        <v>102.4</v>
      </c>
      <c r="E75" s="4">
        <v>39.1</v>
      </c>
      <c r="F75">
        <v>102</v>
      </c>
      <c r="G75">
        <v>45</v>
      </c>
      <c r="H75">
        <v>100</v>
      </c>
      <c r="I75">
        <v>22</v>
      </c>
      <c r="J75">
        <v>100</v>
      </c>
      <c r="K75" t="b">
        <v>1</v>
      </c>
      <c r="L75" t="s">
        <v>16</v>
      </c>
      <c r="M75" t="s">
        <v>16</v>
      </c>
      <c r="N75">
        <v>4</v>
      </c>
      <c r="O75">
        <v>8</v>
      </c>
    </row>
    <row r="76" spans="1:15" x14ac:dyDescent="0.3">
      <c r="A76">
        <v>16388704</v>
      </c>
      <c r="B76">
        <v>20500676</v>
      </c>
      <c r="C76" t="s">
        <v>18</v>
      </c>
      <c r="D76" s="7">
        <v>98.6</v>
      </c>
      <c r="E76" s="4">
        <v>37</v>
      </c>
      <c r="F76">
        <v>122</v>
      </c>
      <c r="G76">
        <v>66</v>
      </c>
      <c r="H76">
        <v>61</v>
      </c>
      <c r="I76">
        <v>18</v>
      </c>
      <c r="J76">
        <v>98</v>
      </c>
      <c r="K76" t="b">
        <v>0</v>
      </c>
      <c r="L76" t="s">
        <v>16</v>
      </c>
      <c r="M76" t="s">
        <v>16</v>
      </c>
      <c r="N76">
        <v>1</v>
      </c>
      <c r="O76">
        <v>0</v>
      </c>
    </row>
    <row r="77" spans="1:15" x14ac:dyDescent="0.3">
      <c r="A77">
        <v>19477304</v>
      </c>
      <c r="B77">
        <v>25876676</v>
      </c>
      <c r="C77" t="s">
        <v>18</v>
      </c>
      <c r="D77" s="8">
        <v>97.6</v>
      </c>
      <c r="E77" s="5">
        <v>36.4</v>
      </c>
      <c r="F77">
        <v>113</v>
      </c>
      <c r="G77">
        <v>81</v>
      </c>
      <c r="H77">
        <v>90</v>
      </c>
      <c r="I77">
        <v>17</v>
      </c>
      <c r="J77">
        <v>96</v>
      </c>
      <c r="K77" t="b">
        <v>1</v>
      </c>
      <c r="L77" t="s">
        <v>22</v>
      </c>
      <c r="M77" t="s">
        <v>22</v>
      </c>
      <c r="N77">
        <v>2</v>
      </c>
      <c r="O77">
        <v>5</v>
      </c>
    </row>
    <row r="78" spans="1:15" x14ac:dyDescent="0.3">
      <c r="A78">
        <v>11454155</v>
      </c>
      <c r="B78">
        <v>20982656</v>
      </c>
      <c r="C78" t="s">
        <v>18</v>
      </c>
      <c r="D78" s="7">
        <v>102.5</v>
      </c>
      <c r="E78" s="4">
        <v>39.200000000000003</v>
      </c>
      <c r="F78">
        <v>130</v>
      </c>
      <c r="G78">
        <v>70</v>
      </c>
      <c r="H78">
        <v>109</v>
      </c>
      <c r="I78">
        <v>16</v>
      </c>
      <c r="J78">
        <v>97</v>
      </c>
      <c r="K78" t="b">
        <v>1</v>
      </c>
      <c r="L78" t="s">
        <v>20</v>
      </c>
      <c r="M78" t="s">
        <v>20</v>
      </c>
      <c r="N78">
        <v>7</v>
      </c>
      <c r="O78">
        <v>8</v>
      </c>
    </row>
    <row r="79" spans="1:15" x14ac:dyDescent="0.3">
      <c r="A79">
        <v>10500002</v>
      </c>
      <c r="B79">
        <v>27599129</v>
      </c>
      <c r="C79" t="s">
        <v>15</v>
      </c>
      <c r="D79" s="7">
        <v>99</v>
      </c>
      <c r="E79" s="4">
        <v>37.200000000000003</v>
      </c>
      <c r="F79">
        <v>102</v>
      </c>
      <c r="G79">
        <v>60</v>
      </c>
      <c r="H79">
        <v>84</v>
      </c>
      <c r="I79">
        <v>16</v>
      </c>
      <c r="J79">
        <v>100</v>
      </c>
      <c r="K79" t="b">
        <v>0</v>
      </c>
      <c r="L79" t="s">
        <v>16</v>
      </c>
      <c r="M79" t="s">
        <v>16</v>
      </c>
      <c r="N79">
        <v>1</v>
      </c>
      <c r="O79">
        <v>1</v>
      </c>
    </row>
    <row r="80" spans="1:15" x14ac:dyDescent="0.3">
      <c r="A80">
        <v>11443713</v>
      </c>
      <c r="B80">
        <v>25732846</v>
      </c>
      <c r="C80" t="s">
        <v>15</v>
      </c>
      <c r="D80" s="8">
        <v>99.3</v>
      </c>
      <c r="E80" s="5">
        <v>37.4</v>
      </c>
      <c r="F80">
        <v>146</v>
      </c>
      <c r="G80">
        <v>56</v>
      </c>
      <c r="H80">
        <v>86</v>
      </c>
      <c r="I80">
        <v>20</v>
      </c>
      <c r="J80">
        <v>98</v>
      </c>
      <c r="K80" t="b">
        <v>0</v>
      </c>
      <c r="L80" t="s">
        <v>16</v>
      </c>
      <c r="M80" t="s">
        <v>16</v>
      </c>
      <c r="N80">
        <v>1</v>
      </c>
      <c r="O80">
        <v>0</v>
      </c>
    </row>
    <row r="81" spans="1:15" x14ac:dyDescent="0.3">
      <c r="A81">
        <v>18098720</v>
      </c>
      <c r="B81">
        <v>25324520</v>
      </c>
      <c r="C81" t="s">
        <v>15</v>
      </c>
      <c r="D81" s="7">
        <v>98.55</v>
      </c>
      <c r="E81" s="4">
        <v>37</v>
      </c>
      <c r="F81">
        <v>145</v>
      </c>
      <c r="G81">
        <v>70</v>
      </c>
      <c r="J81">
        <v>97</v>
      </c>
      <c r="K81" t="b">
        <v>0</v>
      </c>
      <c r="L81" t="s">
        <v>16</v>
      </c>
      <c r="M81" t="s">
        <v>16</v>
      </c>
    </row>
    <row r="82" spans="1:15" x14ac:dyDescent="0.3">
      <c r="A82">
        <v>13937423</v>
      </c>
      <c r="B82">
        <v>26700467</v>
      </c>
      <c r="C82" t="s">
        <v>15</v>
      </c>
      <c r="D82" s="8">
        <v>97.4</v>
      </c>
      <c r="E82" s="5">
        <v>36.299999999999997</v>
      </c>
      <c r="F82">
        <v>186</v>
      </c>
      <c r="G82">
        <v>99</v>
      </c>
      <c r="H82">
        <v>81</v>
      </c>
      <c r="I82">
        <v>20</v>
      </c>
      <c r="J82">
        <v>97</v>
      </c>
      <c r="K82" t="b">
        <v>0</v>
      </c>
      <c r="L82" t="s">
        <v>19</v>
      </c>
      <c r="M82" t="s">
        <v>16</v>
      </c>
      <c r="N82">
        <v>4</v>
      </c>
      <c r="O82">
        <v>3</v>
      </c>
    </row>
    <row r="83" spans="1:15" x14ac:dyDescent="0.3">
      <c r="A83">
        <v>15239151</v>
      </c>
      <c r="B83">
        <v>25410352</v>
      </c>
      <c r="C83" t="s">
        <v>15</v>
      </c>
      <c r="D83" s="7"/>
      <c r="E83" s="4"/>
      <c r="K83" t="b">
        <v>0</v>
      </c>
      <c r="L83" t="s">
        <v>16</v>
      </c>
      <c r="M83" t="s">
        <v>16</v>
      </c>
    </row>
    <row r="84" spans="1:15" x14ac:dyDescent="0.3">
      <c r="A84">
        <v>12513536</v>
      </c>
      <c r="B84">
        <v>24647104</v>
      </c>
      <c r="C84" t="s">
        <v>15</v>
      </c>
      <c r="D84" s="8">
        <v>95.7</v>
      </c>
      <c r="E84" s="5">
        <v>35.4</v>
      </c>
      <c r="F84">
        <v>103</v>
      </c>
      <c r="G84">
        <v>52</v>
      </c>
      <c r="H84">
        <v>68</v>
      </c>
      <c r="I84">
        <v>20</v>
      </c>
      <c r="J84">
        <v>99</v>
      </c>
      <c r="K84" t="b">
        <v>1</v>
      </c>
      <c r="L84" t="s">
        <v>22</v>
      </c>
      <c r="M84" t="s">
        <v>22</v>
      </c>
      <c r="N84">
        <v>2</v>
      </c>
      <c r="O84">
        <v>7</v>
      </c>
    </row>
    <row r="85" spans="1:15" x14ac:dyDescent="0.3">
      <c r="A85">
        <v>16044540</v>
      </c>
      <c r="B85">
        <v>26224170</v>
      </c>
      <c r="C85" t="s">
        <v>18</v>
      </c>
      <c r="D85" s="7">
        <v>98.3</v>
      </c>
      <c r="E85" s="4">
        <v>36.799999999999997</v>
      </c>
      <c r="F85">
        <v>139</v>
      </c>
      <c r="G85">
        <v>89</v>
      </c>
      <c r="H85">
        <v>80</v>
      </c>
      <c r="I85">
        <v>18</v>
      </c>
      <c r="J85">
        <v>98</v>
      </c>
      <c r="K85" t="b">
        <v>0</v>
      </c>
      <c r="L85" t="s">
        <v>16</v>
      </c>
      <c r="M85" t="s">
        <v>16</v>
      </c>
      <c r="N85">
        <v>1</v>
      </c>
      <c r="O85">
        <v>0</v>
      </c>
    </row>
    <row r="86" spans="1:15" x14ac:dyDescent="0.3">
      <c r="A86">
        <v>16283409</v>
      </c>
      <c r="B86">
        <v>29399613</v>
      </c>
      <c r="C86" t="s">
        <v>15</v>
      </c>
      <c r="D86" s="8">
        <v>96</v>
      </c>
      <c r="E86" s="5">
        <v>35.6</v>
      </c>
      <c r="F86">
        <v>168</v>
      </c>
      <c r="G86">
        <v>98</v>
      </c>
      <c r="H86">
        <v>76</v>
      </c>
      <c r="I86">
        <v>16</v>
      </c>
      <c r="J86">
        <v>98</v>
      </c>
      <c r="K86" t="b">
        <v>0</v>
      </c>
      <c r="L86" t="s">
        <v>16</v>
      </c>
      <c r="M86" t="s">
        <v>16</v>
      </c>
      <c r="N86">
        <v>1</v>
      </c>
      <c r="O86">
        <v>1</v>
      </c>
    </row>
    <row r="87" spans="1:15" x14ac:dyDescent="0.3">
      <c r="A87">
        <v>19496137</v>
      </c>
      <c r="B87">
        <v>25505366</v>
      </c>
      <c r="C87" t="s">
        <v>17</v>
      </c>
      <c r="D87" s="7">
        <v>97.9</v>
      </c>
      <c r="E87" s="4">
        <v>36.6</v>
      </c>
      <c r="F87">
        <v>125</v>
      </c>
      <c r="G87">
        <v>86</v>
      </c>
      <c r="H87">
        <v>58</v>
      </c>
      <c r="I87">
        <v>18</v>
      </c>
      <c r="J87">
        <v>100</v>
      </c>
      <c r="K87" t="b">
        <v>0</v>
      </c>
      <c r="L87" t="s">
        <v>16</v>
      </c>
      <c r="M87" t="s">
        <v>16</v>
      </c>
      <c r="N87">
        <v>1</v>
      </c>
      <c r="O87">
        <v>0</v>
      </c>
    </row>
    <row r="88" spans="1:15" x14ac:dyDescent="0.3">
      <c r="A88">
        <v>15788491</v>
      </c>
      <c r="B88">
        <v>21534631</v>
      </c>
      <c r="C88" t="s">
        <v>17</v>
      </c>
      <c r="D88" s="8">
        <v>100.2</v>
      </c>
      <c r="E88" s="5">
        <v>37.9</v>
      </c>
      <c r="F88">
        <v>137</v>
      </c>
      <c r="G88">
        <v>71</v>
      </c>
      <c r="H88">
        <v>92</v>
      </c>
      <c r="I88">
        <v>18</v>
      </c>
      <c r="J88">
        <v>100</v>
      </c>
      <c r="K88" t="b">
        <v>0</v>
      </c>
      <c r="L88" t="s">
        <v>16</v>
      </c>
      <c r="M88" t="str">
        <f t="shared" ref="M88:M119" si="0">IF(L88="Confusion", "Alert", L88)</f>
        <v>Alert</v>
      </c>
      <c r="N88">
        <f>IF(I88&lt;9,2,IF(I88&lt;=14,0,IF(I88&lt;=20,1,IF(I88&lt;=29,2,3)))) + IF(H88&lt;40,2,IF(H88&lt;=50,1,IF(H88&lt;=100,0,IF(H88&lt;=110,1,IF(H88&lt;=129,2,3))))) + IF(F88&lt;=70,3,IF(F88&lt;=80,2,IF(F88&lt;=100,1,IF(F88&lt;=199,0,2)))) + IF(E88&lt;35,2,IF(E88&lt;=38.4,0,IF(E88&lt;=38.9,1,2))) + IF(M88="Alert",0,IF(M88="Voice",1,IF(M88="Pain",2,IF(M88="Unresponsive",3,0))))</f>
        <v>1</v>
      </c>
      <c r="O88">
        <f>IF(I88&lt;=8,3,IF(I88&lt;=11,1,IF(I88&lt;=20,0,IF(I88&lt;=24,2,3)))) + IF(J88&lt;=91,3,IF(J88&lt;=93,2,IF(J88&lt;=95,1,0))) + IF(K88=TRUE,2,0) + IF(F88&lt;=90,3,IF(F88&lt;=100,2,IF(F88&lt;=110,1,IF(F88&lt;=219,0,3)))) + IF(H88&lt;=40,3,IF(H88&lt;=50,1,IF(H88&lt;=90,0,IF(H88&lt;=110,1,IF(H88&lt;=130,2,3))))) + IF(E88&lt;=35,3,IF(E88&lt;=36,1,IF(E88&lt;=38,0,IF(E88&lt;=39,1,2)))) + IF(L88="Alert",0,3)</f>
        <v>1</v>
      </c>
    </row>
    <row r="89" spans="1:15" x14ac:dyDescent="0.3">
      <c r="A89">
        <v>16827025</v>
      </c>
      <c r="B89">
        <v>27675827</v>
      </c>
      <c r="C89" t="s">
        <v>17</v>
      </c>
      <c r="D89" s="7" t="s">
        <v>23</v>
      </c>
      <c r="E89" s="4"/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b">
        <v>0</v>
      </c>
      <c r="L89" t="s">
        <v>16</v>
      </c>
      <c r="M89" t="str">
        <f t="shared" si="0"/>
        <v>Alert</v>
      </c>
      <c r="N89" t="s">
        <v>23</v>
      </c>
      <c r="O89" t="s">
        <v>23</v>
      </c>
    </row>
    <row r="90" spans="1:15" x14ac:dyDescent="0.3">
      <c r="A90">
        <v>18074766</v>
      </c>
      <c r="B90">
        <v>26554199</v>
      </c>
      <c r="C90" t="s">
        <v>17</v>
      </c>
      <c r="D90" s="8">
        <v>97.1</v>
      </c>
      <c r="E90" s="5">
        <v>36.200000000000003</v>
      </c>
      <c r="F90">
        <v>150</v>
      </c>
      <c r="G90">
        <v>101</v>
      </c>
      <c r="H90">
        <v>112</v>
      </c>
      <c r="I90">
        <v>18</v>
      </c>
      <c r="J90">
        <v>100</v>
      </c>
      <c r="K90" t="b">
        <v>1</v>
      </c>
      <c r="L90" t="s">
        <v>16</v>
      </c>
      <c r="M90" t="str">
        <f t="shared" si="0"/>
        <v>Alert</v>
      </c>
      <c r="N90">
        <f>IF(I90&lt;9,2,IF(I90&lt;=14,0,IF(I90&lt;=20,1,IF(I90&lt;=29,2,3)))) + IF(H90&lt;40,2,IF(H90&lt;=50,1,IF(H90&lt;=100,0,IF(H90&lt;=110,1,IF(H90&lt;=129,2,3))))) + IF(F90&lt;=70,3,IF(F90&lt;=80,2,IF(F90&lt;=100,1,IF(F90&lt;=199,0,2)))) + IF(E90&lt;35,2,IF(E90&lt;=38.4,0,IF(E90&lt;=38.9,1,2))) + IF(M90="Alert",0,IF(M90="Voice",1,IF(M90="Pain",2,IF(M90="Unresponsive",3,0))))</f>
        <v>3</v>
      </c>
      <c r="O90">
        <f>IF(I90&lt;=8,3,IF(I90&lt;=11,1,IF(I90&lt;=20,0,IF(I90&lt;=24,2,3)))) + IF(J90&lt;=91,3,IF(J90&lt;=93,2,IF(J90&lt;=95,1,0))) + IF(K90=TRUE,2,0) + IF(F90&lt;=90,3,IF(F90&lt;=100,2,IF(F90&lt;=110,1,IF(F90&lt;=219,0,3)))) + IF(H90&lt;=40,3,IF(H90&lt;=50,1,IF(H90&lt;=90,0,IF(H90&lt;=110,1,IF(H90&lt;=130,2,3))))) + IF(E90&lt;=35,3,IF(E90&lt;=36,1,IF(E90&lt;=38,0,IF(E90&lt;=39,1,2)))) + IF(L90="Alert",0,3)</f>
        <v>4</v>
      </c>
    </row>
    <row r="91" spans="1:15" x14ac:dyDescent="0.3">
      <c r="A91">
        <v>17966879</v>
      </c>
      <c r="B91">
        <v>26095468</v>
      </c>
      <c r="C91" t="s">
        <v>15</v>
      </c>
      <c r="D91" s="7" t="s">
        <v>23</v>
      </c>
      <c r="E91" s="4"/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b">
        <v>0</v>
      </c>
      <c r="L91" t="s">
        <v>16</v>
      </c>
      <c r="M91" t="str">
        <f t="shared" si="0"/>
        <v>Alert</v>
      </c>
      <c r="N91" t="s">
        <v>23</v>
      </c>
      <c r="O91" t="s">
        <v>23</v>
      </c>
    </row>
    <row r="92" spans="1:15" x14ac:dyDescent="0.3">
      <c r="A92">
        <v>12118431</v>
      </c>
      <c r="B92">
        <v>20979856</v>
      </c>
      <c r="C92" t="s">
        <v>15</v>
      </c>
      <c r="D92" s="8">
        <v>98.9</v>
      </c>
      <c r="E92" s="5">
        <v>37.200000000000003</v>
      </c>
      <c r="F92">
        <v>154</v>
      </c>
      <c r="G92">
        <v>85</v>
      </c>
      <c r="H92">
        <v>68</v>
      </c>
      <c r="I92">
        <v>18</v>
      </c>
      <c r="J92">
        <v>99</v>
      </c>
      <c r="K92" t="b">
        <v>0</v>
      </c>
      <c r="L92" t="s">
        <v>16</v>
      </c>
      <c r="M92" t="str">
        <f t="shared" si="0"/>
        <v>Alert</v>
      </c>
      <c r="N92">
        <f t="shared" ref="N92:N97" si="1">IF(I92&lt;9,2,IF(I92&lt;=14,0,IF(I92&lt;=20,1,IF(I92&lt;=29,2,3)))) + IF(H92&lt;40,2,IF(H92&lt;=50,1,IF(H92&lt;=100,0,IF(H92&lt;=110,1,IF(H92&lt;=129,2,3))))) + IF(F92&lt;=70,3,IF(F92&lt;=80,2,IF(F92&lt;=100,1,IF(F92&lt;=199,0,2)))) + IF(E92&lt;35,2,IF(E92&lt;=38.4,0,IF(E92&lt;=38.9,1,2))) + IF(M92="Alert",0,IF(M92="Voice",1,IF(M92="Pain",2,IF(M92="Unresponsive",3,0))))</f>
        <v>1</v>
      </c>
      <c r="O92">
        <f t="shared" ref="O92:O97" si="2">IF(I92&lt;=8,3,IF(I92&lt;=11,1,IF(I92&lt;=20,0,IF(I92&lt;=24,2,3)))) + IF(J92&lt;=91,3,IF(J92&lt;=93,2,IF(J92&lt;=95,1,0))) + IF(K92=TRUE,2,0) + IF(F92&lt;=90,3,IF(F92&lt;=100,2,IF(F92&lt;=110,1,IF(F92&lt;=219,0,3)))) + IF(H92&lt;=40,3,IF(H92&lt;=50,1,IF(H92&lt;=90,0,IF(H92&lt;=110,1,IF(H92&lt;=130,2,3))))) + IF(E92&lt;=35,3,IF(E92&lt;=36,1,IF(E92&lt;=38,0,IF(E92&lt;=39,1,2)))) + IF(L92="Alert",0,3)</f>
        <v>0</v>
      </c>
    </row>
    <row r="93" spans="1:15" x14ac:dyDescent="0.3">
      <c r="A93">
        <v>14045654</v>
      </c>
      <c r="B93">
        <v>29024792</v>
      </c>
      <c r="C93" t="s">
        <v>18</v>
      </c>
      <c r="D93" s="7">
        <v>98.7</v>
      </c>
      <c r="E93" s="4">
        <v>37.1</v>
      </c>
      <c r="F93">
        <v>95</v>
      </c>
      <c r="G93">
        <v>48</v>
      </c>
      <c r="H93">
        <v>103</v>
      </c>
      <c r="I93">
        <v>18</v>
      </c>
      <c r="J93">
        <v>100</v>
      </c>
      <c r="K93" t="b">
        <v>0</v>
      </c>
      <c r="L93" t="s">
        <v>19</v>
      </c>
      <c r="M93" t="str">
        <f t="shared" si="0"/>
        <v>Alert</v>
      </c>
      <c r="N93">
        <f t="shared" si="1"/>
        <v>3</v>
      </c>
      <c r="O93">
        <f t="shared" si="2"/>
        <v>6</v>
      </c>
    </row>
    <row r="94" spans="1:15" x14ac:dyDescent="0.3">
      <c r="A94">
        <v>11742862</v>
      </c>
      <c r="B94">
        <v>25752942</v>
      </c>
      <c r="C94" t="s">
        <v>15</v>
      </c>
      <c r="D94" s="8">
        <v>36.700000000000003</v>
      </c>
      <c r="E94" s="5">
        <v>2.6</v>
      </c>
      <c r="F94">
        <v>148</v>
      </c>
      <c r="G94">
        <v>46</v>
      </c>
      <c r="H94">
        <v>82</v>
      </c>
      <c r="I94">
        <v>20</v>
      </c>
      <c r="J94">
        <v>100</v>
      </c>
      <c r="K94" t="b">
        <v>0</v>
      </c>
      <c r="L94" t="s">
        <v>16</v>
      </c>
      <c r="M94" t="str">
        <f t="shared" si="0"/>
        <v>Alert</v>
      </c>
      <c r="N94">
        <f t="shared" si="1"/>
        <v>3</v>
      </c>
      <c r="O94">
        <f t="shared" si="2"/>
        <v>3</v>
      </c>
    </row>
    <row r="95" spans="1:15" x14ac:dyDescent="0.3">
      <c r="A95">
        <v>11793360</v>
      </c>
      <c r="B95">
        <v>21169832</v>
      </c>
      <c r="C95" t="s">
        <v>15</v>
      </c>
      <c r="D95" s="7">
        <v>98</v>
      </c>
      <c r="E95" s="4">
        <v>36.700000000000003</v>
      </c>
      <c r="F95">
        <v>177</v>
      </c>
      <c r="G95">
        <v>86</v>
      </c>
      <c r="H95">
        <v>62</v>
      </c>
      <c r="I95">
        <v>16</v>
      </c>
      <c r="J95">
        <v>99</v>
      </c>
      <c r="K95" t="b">
        <v>0</v>
      </c>
      <c r="L95" t="s">
        <v>16</v>
      </c>
      <c r="M95" t="str">
        <f t="shared" si="0"/>
        <v>Alert</v>
      </c>
      <c r="N95">
        <f t="shared" si="1"/>
        <v>1</v>
      </c>
      <c r="O95">
        <f t="shared" si="2"/>
        <v>0</v>
      </c>
    </row>
    <row r="96" spans="1:15" x14ac:dyDescent="0.3">
      <c r="A96">
        <v>16653503</v>
      </c>
      <c r="B96">
        <v>23877283</v>
      </c>
      <c r="C96" t="s">
        <v>17</v>
      </c>
      <c r="D96" s="8">
        <v>97.8</v>
      </c>
      <c r="E96" s="5">
        <v>36.6</v>
      </c>
      <c r="F96">
        <v>132</v>
      </c>
      <c r="G96">
        <v>67</v>
      </c>
      <c r="H96">
        <v>50</v>
      </c>
      <c r="I96">
        <v>18</v>
      </c>
      <c r="J96">
        <v>97</v>
      </c>
      <c r="K96" t="b">
        <v>0</v>
      </c>
      <c r="L96" t="s">
        <v>16</v>
      </c>
      <c r="M96" t="str">
        <f t="shared" si="0"/>
        <v>Alert</v>
      </c>
      <c r="N96">
        <f t="shared" si="1"/>
        <v>2</v>
      </c>
      <c r="O96">
        <f t="shared" si="2"/>
        <v>1</v>
      </c>
    </row>
    <row r="97" spans="1:16" x14ac:dyDescent="0.3">
      <c r="A97">
        <v>14487480</v>
      </c>
      <c r="B97">
        <v>29073508</v>
      </c>
      <c r="C97" t="s">
        <v>15</v>
      </c>
      <c r="D97" s="7">
        <v>98.7</v>
      </c>
      <c r="E97" s="4">
        <v>37.1</v>
      </c>
      <c r="F97">
        <v>156</v>
      </c>
      <c r="G97">
        <v>92</v>
      </c>
      <c r="H97">
        <v>89</v>
      </c>
      <c r="I97">
        <v>20</v>
      </c>
      <c r="J97">
        <v>97</v>
      </c>
      <c r="K97" t="b">
        <v>0</v>
      </c>
      <c r="L97" t="s">
        <v>16</v>
      </c>
      <c r="M97" t="str">
        <f t="shared" si="0"/>
        <v>Alert</v>
      </c>
      <c r="N97">
        <f t="shared" si="1"/>
        <v>1</v>
      </c>
      <c r="O97">
        <f t="shared" si="2"/>
        <v>0</v>
      </c>
    </row>
    <row r="98" spans="1:16" x14ac:dyDescent="0.3">
      <c r="A98">
        <v>19614400</v>
      </c>
      <c r="B98">
        <v>25341152</v>
      </c>
      <c r="C98" t="s">
        <v>15</v>
      </c>
      <c r="D98" s="8" t="s">
        <v>23</v>
      </c>
      <c r="E98" s="5"/>
      <c r="F98">
        <v>153</v>
      </c>
      <c r="G98">
        <v>84</v>
      </c>
      <c r="H98">
        <v>49</v>
      </c>
      <c r="I98">
        <v>18</v>
      </c>
      <c r="J98">
        <v>100</v>
      </c>
      <c r="K98" t="b">
        <v>0</v>
      </c>
      <c r="L98" t="s">
        <v>16</v>
      </c>
      <c r="M98" t="str">
        <f t="shared" si="0"/>
        <v>Alert</v>
      </c>
      <c r="N98" t="s">
        <v>23</v>
      </c>
      <c r="O98" t="s">
        <v>23</v>
      </c>
    </row>
    <row r="99" spans="1:16" x14ac:dyDescent="0.3">
      <c r="A99">
        <v>14508493</v>
      </c>
      <c r="B99">
        <v>20710964</v>
      </c>
      <c r="C99" t="s">
        <v>18</v>
      </c>
      <c r="D99" s="7">
        <v>99.5</v>
      </c>
      <c r="E99" s="4">
        <v>37.5</v>
      </c>
      <c r="F99">
        <v>115</v>
      </c>
      <c r="G99">
        <v>72</v>
      </c>
      <c r="H99">
        <v>98</v>
      </c>
      <c r="I99">
        <v>20</v>
      </c>
      <c r="J99">
        <v>98</v>
      </c>
      <c r="K99" t="b">
        <v>0</v>
      </c>
      <c r="L99" t="s">
        <v>16</v>
      </c>
      <c r="M99" t="str">
        <f t="shared" si="0"/>
        <v>Alert</v>
      </c>
      <c r="N99">
        <f t="shared" ref="N99:N116" si="3">IF(I99&lt;9,2,IF(I99&lt;=14,0,IF(I99&lt;=20,1,IF(I99&lt;=29,2,3)))) + IF(H99&lt;40,2,IF(H99&lt;=50,1,IF(H99&lt;=100,0,IF(H99&lt;=110,1,IF(H99&lt;=129,2,3))))) + IF(F99&lt;=70,3,IF(F99&lt;=80,2,IF(F99&lt;=100,1,IF(F99&lt;=199,0,2)))) + IF(E99&lt;35,2,IF(E99&lt;=38.4,0,IF(E99&lt;=38.9,1,2))) + IF(M99="Alert",0,IF(M99="Voice",1,IF(M99="Pain",2,IF(M99="Unresponsive",3,0))))</f>
        <v>1</v>
      </c>
      <c r="O99">
        <f t="shared" ref="O99:O116" si="4">IF(I99&lt;=8,3,IF(I99&lt;=11,1,IF(I99&lt;=20,0,IF(I99&lt;=24,2,3)))) + IF(J99&lt;=91,3,IF(J99&lt;=93,2,IF(J99&lt;=95,1,0))) + IF(K99=TRUE,2,0) + IF(F99&lt;=90,3,IF(F99&lt;=100,2,IF(F99&lt;=110,1,IF(F99&lt;=219,0,3)))) + IF(H99&lt;=40,3,IF(H99&lt;=50,1,IF(H99&lt;=90,0,IF(H99&lt;=110,1,IF(H99&lt;=130,2,3))))) + IF(E99&lt;=35,3,IF(E99&lt;=36,1,IF(E99&lt;=38,0,IF(E99&lt;=39,1,2)))) + IF(L99="Alert",0,3)</f>
        <v>1</v>
      </c>
    </row>
    <row r="100" spans="1:16" x14ac:dyDescent="0.3">
      <c r="A100">
        <v>18979146</v>
      </c>
      <c r="B100">
        <v>25506996</v>
      </c>
      <c r="C100" t="s">
        <v>15</v>
      </c>
      <c r="D100" s="8">
        <v>99.3</v>
      </c>
      <c r="E100" s="5">
        <v>37.4</v>
      </c>
      <c r="F100">
        <v>175</v>
      </c>
      <c r="G100">
        <v>82</v>
      </c>
      <c r="H100">
        <v>70</v>
      </c>
      <c r="I100">
        <v>18</v>
      </c>
      <c r="J100">
        <v>95</v>
      </c>
      <c r="K100" t="b">
        <v>0</v>
      </c>
      <c r="L100" t="s">
        <v>16</v>
      </c>
      <c r="M100" t="str">
        <f t="shared" si="0"/>
        <v>Alert</v>
      </c>
      <c r="N100">
        <f t="shared" si="3"/>
        <v>1</v>
      </c>
      <c r="O100">
        <f t="shared" si="4"/>
        <v>1</v>
      </c>
    </row>
    <row r="101" spans="1:16" x14ac:dyDescent="0.3">
      <c r="A101">
        <v>12291152</v>
      </c>
      <c r="B101">
        <v>28747853</v>
      </c>
      <c r="C101" t="s">
        <v>15</v>
      </c>
      <c r="D101" s="7">
        <v>97.4</v>
      </c>
      <c r="E101" s="4">
        <v>36.299999999999997</v>
      </c>
      <c r="F101">
        <v>118</v>
      </c>
      <c r="G101">
        <v>86</v>
      </c>
      <c r="H101">
        <v>96</v>
      </c>
      <c r="I101">
        <v>28</v>
      </c>
      <c r="J101">
        <v>96</v>
      </c>
      <c r="K101" t="b">
        <v>1</v>
      </c>
      <c r="L101" t="s">
        <v>16</v>
      </c>
      <c r="M101" t="str">
        <f t="shared" si="0"/>
        <v>Alert</v>
      </c>
      <c r="N101">
        <f t="shared" si="3"/>
        <v>2</v>
      </c>
      <c r="O101">
        <f t="shared" si="4"/>
        <v>6</v>
      </c>
    </row>
    <row r="102" spans="1:16" x14ac:dyDescent="0.3">
      <c r="A102">
        <v>13213620</v>
      </c>
      <c r="B102">
        <v>23738630</v>
      </c>
      <c r="C102" t="s">
        <v>15</v>
      </c>
      <c r="D102" s="8">
        <v>98</v>
      </c>
      <c r="E102" s="5">
        <v>36.700000000000003</v>
      </c>
      <c r="F102">
        <v>130</v>
      </c>
      <c r="G102">
        <v>85</v>
      </c>
      <c r="H102">
        <v>80</v>
      </c>
      <c r="I102">
        <v>16</v>
      </c>
      <c r="J102">
        <v>100</v>
      </c>
      <c r="K102" t="b">
        <v>0</v>
      </c>
      <c r="L102" t="s">
        <v>16</v>
      </c>
      <c r="M102" t="str">
        <f t="shared" si="0"/>
        <v>Alert</v>
      </c>
      <c r="N102">
        <f t="shared" si="3"/>
        <v>1</v>
      </c>
      <c r="O102">
        <f t="shared" si="4"/>
        <v>0</v>
      </c>
    </row>
    <row r="103" spans="1:16" x14ac:dyDescent="0.3">
      <c r="A103">
        <v>18711850</v>
      </c>
      <c r="B103">
        <v>20449265</v>
      </c>
      <c r="C103" t="s">
        <v>18</v>
      </c>
      <c r="D103" s="8">
        <v>99.1</v>
      </c>
      <c r="E103" s="5">
        <v>37.299999999999997</v>
      </c>
      <c r="F103">
        <v>129</v>
      </c>
      <c r="G103">
        <v>84</v>
      </c>
      <c r="H103">
        <v>86</v>
      </c>
      <c r="I103">
        <v>18</v>
      </c>
      <c r="J103">
        <v>97</v>
      </c>
      <c r="K103" t="b">
        <v>0</v>
      </c>
      <c r="L103" t="s">
        <v>16</v>
      </c>
      <c r="M103" t="str">
        <f t="shared" si="0"/>
        <v>Alert</v>
      </c>
      <c r="N103">
        <f t="shared" si="3"/>
        <v>1</v>
      </c>
      <c r="O103">
        <f t="shared" si="4"/>
        <v>0</v>
      </c>
    </row>
    <row r="104" spans="1:16" x14ac:dyDescent="0.3">
      <c r="A104">
        <v>14670928</v>
      </c>
      <c r="B104">
        <v>27892420</v>
      </c>
      <c r="C104" t="s">
        <v>17</v>
      </c>
      <c r="D104" s="7">
        <v>98</v>
      </c>
      <c r="E104" s="4">
        <v>36.700000000000003</v>
      </c>
      <c r="F104">
        <v>106</v>
      </c>
      <c r="G104">
        <v>58</v>
      </c>
      <c r="H104">
        <v>65</v>
      </c>
      <c r="I104">
        <v>16</v>
      </c>
      <c r="J104">
        <v>98</v>
      </c>
      <c r="K104" t="b">
        <v>0</v>
      </c>
      <c r="L104" t="s">
        <v>16</v>
      </c>
      <c r="M104" t="str">
        <f t="shared" si="0"/>
        <v>Alert</v>
      </c>
      <c r="N104">
        <f t="shared" si="3"/>
        <v>1</v>
      </c>
      <c r="O104">
        <f t="shared" si="4"/>
        <v>1</v>
      </c>
    </row>
    <row r="105" spans="1:16" x14ac:dyDescent="0.3">
      <c r="A105">
        <v>17993950</v>
      </c>
      <c r="B105">
        <v>29247765</v>
      </c>
      <c r="C105" t="s">
        <v>15</v>
      </c>
      <c r="D105" s="8">
        <v>97.6</v>
      </c>
      <c r="E105" s="5">
        <v>36.4</v>
      </c>
      <c r="F105">
        <v>135</v>
      </c>
      <c r="G105">
        <v>83</v>
      </c>
      <c r="H105">
        <v>76</v>
      </c>
      <c r="I105">
        <v>18</v>
      </c>
      <c r="J105">
        <v>97</v>
      </c>
      <c r="K105" t="b">
        <v>0</v>
      </c>
      <c r="L105" t="s">
        <v>16</v>
      </c>
      <c r="M105" t="str">
        <f t="shared" si="0"/>
        <v>Alert</v>
      </c>
      <c r="N105">
        <f t="shared" si="3"/>
        <v>1</v>
      </c>
      <c r="O105">
        <f t="shared" si="4"/>
        <v>0</v>
      </c>
    </row>
    <row r="106" spans="1:16" x14ac:dyDescent="0.3">
      <c r="A106">
        <v>17921262</v>
      </c>
      <c r="B106">
        <v>29093525</v>
      </c>
      <c r="C106" t="s">
        <v>15</v>
      </c>
      <c r="D106" s="8">
        <v>98.9</v>
      </c>
      <c r="E106" s="5">
        <v>37.200000000000003</v>
      </c>
      <c r="F106">
        <v>128</v>
      </c>
      <c r="G106">
        <v>67</v>
      </c>
      <c r="H106">
        <v>83</v>
      </c>
      <c r="I106">
        <v>20</v>
      </c>
      <c r="J106">
        <v>97</v>
      </c>
      <c r="K106" t="b">
        <v>0</v>
      </c>
      <c r="L106" t="s">
        <v>16</v>
      </c>
      <c r="M106" t="str">
        <f t="shared" si="0"/>
        <v>Alert</v>
      </c>
      <c r="N106">
        <f t="shared" si="3"/>
        <v>1</v>
      </c>
      <c r="O106">
        <f t="shared" si="4"/>
        <v>0</v>
      </c>
      <c r="P106" s="2"/>
    </row>
    <row r="107" spans="1:16" x14ac:dyDescent="0.3">
      <c r="A107">
        <v>15897606</v>
      </c>
      <c r="B107">
        <v>28738067</v>
      </c>
      <c r="C107" t="s">
        <v>15</v>
      </c>
      <c r="D107" s="7">
        <v>97.6</v>
      </c>
      <c r="E107" s="4">
        <v>36.4</v>
      </c>
      <c r="F107">
        <v>116</v>
      </c>
      <c r="G107">
        <v>77</v>
      </c>
      <c r="H107">
        <v>89</v>
      </c>
      <c r="I107">
        <v>17</v>
      </c>
      <c r="J107">
        <v>97</v>
      </c>
      <c r="K107" t="b">
        <v>0</v>
      </c>
      <c r="L107" t="s">
        <v>16</v>
      </c>
      <c r="M107" t="str">
        <f t="shared" si="0"/>
        <v>Alert</v>
      </c>
      <c r="N107">
        <f t="shared" si="3"/>
        <v>1</v>
      </c>
      <c r="O107">
        <f t="shared" si="4"/>
        <v>0</v>
      </c>
    </row>
    <row r="108" spans="1:16" x14ac:dyDescent="0.3">
      <c r="A108">
        <v>10624280</v>
      </c>
      <c r="B108">
        <v>23039474</v>
      </c>
      <c r="C108" t="s">
        <v>15</v>
      </c>
      <c r="D108" s="8">
        <v>96.3</v>
      </c>
      <c r="E108" s="5">
        <v>35.700000000000003</v>
      </c>
      <c r="F108">
        <v>123</v>
      </c>
      <c r="G108">
        <v>84</v>
      </c>
      <c r="H108">
        <v>105</v>
      </c>
      <c r="I108">
        <v>29</v>
      </c>
      <c r="J108">
        <v>98</v>
      </c>
      <c r="K108" t="b">
        <v>1</v>
      </c>
      <c r="L108" t="s">
        <v>16</v>
      </c>
      <c r="M108" t="str">
        <f t="shared" si="0"/>
        <v>Alert</v>
      </c>
      <c r="N108">
        <f t="shared" si="3"/>
        <v>3</v>
      </c>
      <c r="O108">
        <f t="shared" si="4"/>
        <v>7</v>
      </c>
    </row>
    <row r="109" spans="1:16" x14ac:dyDescent="0.3">
      <c r="A109">
        <v>12168076</v>
      </c>
      <c r="B109">
        <v>27289225</v>
      </c>
      <c r="C109" t="s">
        <v>15</v>
      </c>
      <c r="D109" s="8">
        <v>97.8</v>
      </c>
      <c r="E109" s="5">
        <v>36.6</v>
      </c>
      <c r="F109">
        <v>106</v>
      </c>
      <c r="G109">
        <v>62</v>
      </c>
      <c r="H109">
        <v>58</v>
      </c>
      <c r="I109">
        <v>20</v>
      </c>
      <c r="J109">
        <v>94</v>
      </c>
      <c r="K109" t="b">
        <v>0</v>
      </c>
      <c r="L109" t="s">
        <v>16</v>
      </c>
      <c r="M109" t="str">
        <f t="shared" si="0"/>
        <v>Alert</v>
      </c>
      <c r="N109">
        <f t="shared" si="3"/>
        <v>1</v>
      </c>
      <c r="O109">
        <f t="shared" si="4"/>
        <v>2</v>
      </c>
    </row>
    <row r="110" spans="1:16" x14ac:dyDescent="0.3">
      <c r="A110">
        <v>17028437</v>
      </c>
      <c r="B110">
        <v>29085993</v>
      </c>
      <c r="C110" t="s">
        <v>17</v>
      </c>
      <c r="D110" s="7">
        <v>99.2</v>
      </c>
      <c r="E110" s="4">
        <v>37.299999999999997</v>
      </c>
      <c r="F110">
        <v>163</v>
      </c>
      <c r="G110">
        <v>77</v>
      </c>
      <c r="H110">
        <v>100</v>
      </c>
      <c r="I110">
        <v>18</v>
      </c>
      <c r="J110">
        <v>99</v>
      </c>
      <c r="K110" t="b">
        <v>0</v>
      </c>
      <c r="L110" t="s">
        <v>16</v>
      </c>
      <c r="M110" t="str">
        <f t="shared" si="0"/>
        <v>Alert</v>
      </c>
      <c r="N110">
        <f t="shared" si="3"/>
        <v>1</v>
      </c>
      <c r="O110">
        <f t="shared" si="4"/>
        <v>1</v>
      </c>
    </row>
    <row r="111" spans="1:16" x14ac:dyDescent="0.3">
      <c r="A111">
        <v>14057496</v>
      </c>
      <c r="B111">
        <v>27992814</v>
      </c>
      <c r="C111" t="s">
        <v>17</v>
      </c>
      <c r="D111" s="8">
        <v>98.7</v>
      </c>
      <c r="E111" s="5">
        <v>37.1</v>
      </c>
      <c r="F111">
        <v>152</v>
      </c>
      <c r="G111">
        <v>91</v>
      </c>
      <c r="H111">
        <v>77</v>
      </c>
      <c r="I111">
        <v>18</v>
      </c>
      <c r="J111">
        <v>98</v>
      </c>
      <c r="K111" t="b">
        <v>0</v>
      </c>
      <c r="L111" t="s">
        <v>16</v>
      </c>
      <c r="M111" t="str">
        <f t="shared" si="0"/>
        <v>Alert</v>
      </c>
      <c r="N111">
        <f t="shared" si="3"/>
        <v>1</v>
      </c>
      <c r="O111">
        <f t="shared" si="4"/>
        <v>0</v>
      </c>
    </row>
    <row r="112" spans="1:16" x14ac:dyDescent="0.3">
      <c r="A112">
        <v>11668372</v>
      </c>
      <c r="B112">
        <v>26976092</v>
      </c>
      <c r="C112" t="s">
        <v>17</v>
      </c>
      <c r="D112" s="7">
        <v>99.2</v>
      </c>
      <c r="E112" s="4">
        <v>37.299999999999997</v>
      </c>
      <c r="F112">
        <v>163</v>
      </c>
      <c r="G112">
        <v>77</v>
      </c>
      <c r="H112">
        <v>100</v>
      </c>
      <c r="I112">
        <v>18</v>
      </c>
      <c r="J112">
        <v>99</v>
      </c>
      <c r="K112" t="b">
        <v>0</v>
      </c>
      <c r="L112" t="s">
        <v>16</v>
      </c>
      <c r="M112" t="str">
        <f t="shared" si="0"/>
        <v>Alert</v>
      </c>
      <c r="N112">
        <f t="shared" si="3"/>
        <v>1</v>
      </c>
      <c r="O112">
        <f t="shared" si="4"/>
        <v>1</v>
      </c>
    </row>
    <row r="113" spans="1:15" x14ac:dyDescent="0.3">
      <c r="A113">
        <v>11651592</v>
      </c>
      <c r="B113">
        <v>23746355</v>
      </c>
      <c r="C113" t="s">
        <v>15</v>
      </c>
      <c r="D113" s="8">
        <v>98</v>
      </c>
      <c r="E113" s="5">
        <v>36.700000000000003</v>
      </c>
      <c r="F113">
        <v>172</v>
      </c>
      <c r="G113">
        <v>86</v>
      </c>
      <c r="H113">
        <v>108</v>
      </c>
      <c r="I113">
        <v>26</v>
      </c>
      <c r="J113">
        <v>94</v>
      </c>
      <c r="K113" t="b">
        <v>0</v>
      </c>
      <c r="L113" t="s">
        <v>16</v>
      </c>
      <c r="M113" t="str">
        <f t="shared" si="0"/>
        <v>Alert</v>
      </c>
      <c r="N113">
        <f t="shared" si="3"/>
        <v>3</v>
      </c>
      <c r="O113">
        <f t="shared" si="4"/>
        <v>5</v>
      </c>
    </row>
    <row r="114" spans="1:15" x14ac:dyDescent="0.3">
      <c r="A114">
        <v>10524770</v>
      </c>
      <c r="B114">
        <v>23666200</v>
      </c>
      <c r="C114" t="s">
        <v>17</v>
      </c>
      <c r="D114" s="7">
        <v>98.1</v>
      </c>
      <c r="E114" s="4">
        <v>36.700000000000003</v>
      </c>
      <c r="F114">
        <v>141</v>
      </c>
      <c r="G114">
        <v>65</v>
      </c>
      <c r="H114">
        <v>57</v>
      </c>
      <c r="I114">
        <v>18</v>
      </c>
      <c r="J114">
        <v>96</v>
      </c>
      <c r="K114" t="b">
        <v>0</v>
      </c>
      <c r="L114" t="s">
        <v>16</v>
      </c>
      <c r="M114" t="str">
        <f t="shared" si="0"/>
        <v>Alert</v>
      </c>
      <c r="N114">
        <f t="shared" si="3"/>
        <v>1</v>
      </c>
      <c r="O114">
        <f t="shared" si="4"/>
        <v>0</v>
      </c>
    </row>
    <row r="115" spans="1:15" x14ac:dyDescent="0.3">
      <c r="A115">
        <v>14663313</v>
      </c>
      <c r="B115">
        <v>28196106</v>
      </c>
      <c r="C115" t="s">
        <v>18</v>
      </c>
      <c r="D115" s="8">
        <v>97.5</v>
      </c>
      <c r="E115" s="5">
        <v>36.4</v>
      </c>
      <c r="F115">
        <v>119</v>
      </c>
      <c r="G115">
        <v>68</v>
      </c>
      <c r="H115">
        <v>74</v>
      </c>
      <c r="I115">
        <v>18</v>
      </c>
      <c r="J115">
        <v>100</v>
      </c>
      <c r="K115" t="b">
        <v>0</v>
      </c>
      <c r="L115" t="s">
        <v>16</v>
      </c>
      <c r="M115" t="str">
        <f t="shared" si="0"/>
        <v>Alert</v>
      </c>
      <c r="N115">
        <f t="shared" si="3"/>
        <v>1</v>
      </c>
      <c r="O115">
        <f t="shared" si="4"/>
        <v>0</v>
      </c>
    </row>
    <row r="116" spans="1:15" x14ac:dyDescent="0.3">
      <c r="A116">
        <v>16538055</v>
      </c>
      <c r="B116">
        <v>26680647</v>
      </c>
      <c r="C116" t="s">
        <v>17</v>
      </c>
      <c r="D116" s="8">
        <v>98.5</v>
      </c>
      <c r="E116" s="5">
        <v>36.9</v>
      </c>
      <c r="F116">
        <v>117</v>
      </c>
      <c r="G116">
        <v>77</v>
      </c>
      <c r="H116">
        <v>98</v>
      </c>
      <c r="I116">
        <v>22</v>
      </c>
      <c r="J116">
        <v>97</v>
      </c>
      <c r="K116" t="b">
        <v>0</v>
      </c>
      <c r="L116" t="s">
        <v>16</v>
      </c>
      <c r="M116" t="str">
        <f t="shared" si="0"/>
        <v>Alert</v>
      </c>
      <c r="N116">
        <f t="shared" si="3"/>
        <v>2</v>
      </c>
      <c r="O116">
        <f t="shared" si="4"/>
        <v>3</v>
      </c>
    </row>
    <row r="117" spans="1:15" x14ac:dyDescent="0.3">
      <c r="A117">
        <v>17601055</v>
      </c>
      <c r="B117">
        <v>28358467</v>
      </c>
      <c r="C117" t="s">
        <v>15</v>
      </c>
      <c r="D117" s="7">
        <v>96.7</v>
      </c>
      <c r="E117" s="4">
        <v>35.9</v>
      </c>
      <c r="F117" t="s">
        <v>23</v>
      </c>
      <c r="G117" t="s">
        <v>23</v>
      </c>
      <c r="H117">
        <v>80</v>
      </c>
      <c r="I117" t="s">
        <v>23</v>
      </c>
      <c r="J117">
        <v>98</v>
      </c>
      <c r="K117" t="b">
        <v>0</v>
      </c>
      <c r="L117" t="s">
        <v>16</v>
      </c>
      <c r="M117" t="str">
        <f t="shared" si="0"/>
        <v>Alert</v>
      </c>
      <c r="N117" t="s">
        <v>23</v>
      </c>
      <c r="O117" t="s">
        <v>23</v>
      </c>
    </row>
    <row r="118" spans="1:15" x14ac:dyDescent="0.3">
      <c r="A118">
        <v>10879330</v>
      </c>
      <c r="B118">
        <v>28412828</v>
      </c>
      <c r="C118" t="s">
        <v>15</v>
      </c>
      <c r="D118" s="8">
        <v>98.4</v>
      </c>
      <c r="E118" s="5">
        <v>36.9</v>
      </c>
      <c r="F118">
        <v>151</v>
      </c>
      <c r="G118">
        <v>74</v>
      </c>
      <c r="H118">
        <v>75</v>
      </c>
      <c r="I118">
        <v>16</v>
      </c>
      <c r="J118">
        <v>96</v>
      </c>
      <c r="K118" t="b">
        <v>0</v>
      </c>
      <c r="L118" t="s">
        <v>19</v>
      </c>
      <c r="M118" t="str">
        <f t="shared" si="0"/>
        <v>Alert</v>
      </c>
      <c r="N118">
        <f>IF(I118&lt;9,2,IF(I118&lt;=14,0,IF(I118&lt;=20,1,IF(I118&lt;=29,2,3)))) + IF(H118&lt;40,2,IF(H118&lt;=50,1,IF(H118&lt;=100,0,IF(H118&lt;=110,1,IF(H118&lt;=129,2,3))))) + IF(F118&lt;=70,3,IF(F118&lt;=80,2,IF(F118&lt;=100,1,IF(F118&lt;=199,0,2)))) + IF(E118&lt;35,2,IF(E118&lt;=38.4,0,IF(E118&lt;=38.9,1,2))) + IF(M118="Alert",0,IF(M118="Voice",1,IF(M118="Pain",2,IF(M118="Unresponsive",3,0))))</f>
        <v>1</v>
      </c>
      <c r="O118">
        <f>IF(I118&lt;=8,3,IF(I118&lt;=11,1,IF(I118&lt;=20,0,IF(I118&lt;=24,2,3)))) + IF(J118&lt;=91,3,IF(J118&lt;=93,2,IF(J118&lt;=95,1,0))) + IF(K118=TRUE,2,0) + IF(F118&lt;=90,3,IF(F118&lt;=100,2,IF(F118&lt;=110,1,IF(F118&lt;=219,0,3)))) + IF(H118&lt;=40,3,IF(H118&lt;=50,1,IF(H118&lt;=90,0,IF(H118&lt;=110,1,IF(H118&lt;=130,2,3))))) + IF(E118&lt;=35,3,IF(E118&lt;=36,1,IF(E118&lt;=38,0,IF(E118&lt;=39,1,2)))) + IF(L118="Alert",0,3)</f>
        <v>3</v>
      </c>
    </row>
    <row r="119" spans="1:15" x14ac:dyDescent="0.3">
      <c r="A119">
        <v>18155344</v>
      </c>
      <c r="B119">
        <v>25036456</v>
      </c>
      <c r="C119" t="s">
        <v>18</v>
      </c>
      <c r="D119" s="7" t="s">
        <v>23</v>
      </c>
      <c r="E119" s="4"/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b">
        <v>0</v>
      </c>
      <c r="L119" t="s">
        <v>19</v>
      </c>
      <c r="M119" t="str">
        <f t="shared" si="0"/>
        <v>Alert</v>
      </c>
      <c r="N119" t="s">
        <v>23</v>
      </c>
      <c r="O119" t="s">
        <v>23</v>
      </c>
    </row>
    <row r="120" spans="1:15" x14ac:dyDescent="0.3">
      <c r="A120">
        <v>13201136</v>
      </c>
      <c r="B120">
        <v>26993632</v>
      </c>
      <c r="C120" t="s">
        <v>18</v>
      </c>
      <c r="D120" s="8">
        <v>98.2</v>
      </c>
      <c r="E120" s="5">
        <v>36.799999999999997</v>
      </c>
      <c r="F120">
        <v>165</v>
      </c>
      <c r="G120">
        <v>82</v>
      </c>
      <c r="H120">
        <v>64</v>
      </c>
      <c r="I120">
        <v>18</v>
      </c>
      <c r="J120">
        <v>96</v>
      </c>
      <c r="K120" t="b">
        <v>0</v>
      </c>
      <c r="L120" t="s">
        <v>16</v>
      </c>
      <c r="M120" t="str">
        <f t="shared" ref="M120:M151" si="5">IF(L120="Confusion", "Alert", L120)</f>
        <v>Alert</v>
      </c>
      <c r="N120">
        <f t="shared" ref="N120:N145" si="6">IF(I120&lt;9,2,IF(I120&lt;=14,0,IF(I120&lt;=20,1,IF(I120&lt;=29,2,3)))) + IF(H120&lt;40,2,IF(H120&lt;=50,1,IF(H120&lt;=100,0,IF(H120&lt;=110,1,IF(H120&lt;=129,2,3))))) + IF(F120&lt;=70,3,IF(F120&lt;=80,2,IF(F120&lt;=100,1,IF(F120&lt;=199,0,2)))) + IF(E120&lt;35,2,IF(E120&lt;=38.4,0,IF(E120&lt;=38.9,1,2))) + IF(M120="Alert",0,IF(M120="Voice",1,IF(M120="Pain",2,IF(M120="Unresponsive",3,0))))</f>
        <v>1</v>
      </c>
      <c r="O120">
        <f t="shared" ref="O120:O145" si="7">IF(I120&lt;=8,3,IF(I120&lt;=11,1,IF(I120&lt;=20,0,IF(I120&lt;=24,2,3)))) + IF(J120&lt;=91,3,IF(J120&lt;=93,2,IF(J120&lt;=95,1,0))) + IF(K120=TRUE,2,0) + IF(F120&lt;=90,3,IF(F120&lt;=100,2,IF(F120&lt;=110,1,IF(F120&lt;=219,0,3)))) + IF(H120&lt;=40,3,IF(H120&lt;=50,1,IF(H120&lt;=90,0,IF(H120&lt;=110,1,IF(H120&lt;=130,2,3))))) + IF(E120&lt;=35,3,IF(E120&lt;=36,1,IF(E120&lt;=38,0,IF(E120&lt;=39,1,2)))) + IF(L120="Alert",0,3)</f>
        <v>0</v>
      </c>
    </row>
    <row r="121" spans="1:15" x14ac:dyDescent="0.3">
      <c r="A121">
        <v>19830631</v>
      </c>
      <c r="B121">
        <v>28671373</v>
      </c>
      <c r="C121" t="s">
        <v>18</v>
      </c>
      <c r="D121" s="7">
        <v>97.7</v>
      </c>
      <c r="E121" s="4">
        <v>36.5</v>
      </c>
      <c r="F121">
        <v>119</v>
      </c>
      <c r="G121">
        <v>83</v>
      </c>
      <c r="H121">
        <v>63</v>
      </c>
      <c r="I121">
        <v>16</v>
      </c>
      <c r="J121">
        <v>100</v>
      </c>
      <c r="K121" t="b">
        <v>0</v>
      </c>
      <c r="L121" t="s">
        <v>16</v>
      </c>
      <c r="M121" t="str">
        <f t="shared" si="5"/>
        <v>Alert</v>
      </c>
      <c r="N121">
        <f t="shared" si="6"/>
        <v>1</v>
      </c>
      <c r="O121">
        <f t="shared" si="7"/>
        <v>0</v>
      </c>
    </row>
    <row r="122" spans="1:15" x14ac:dyDescent="0.3">
      <c r="A122">
        <v>17038950</v>
      </c>
      <c r="B122">
        <v>22761347</v>
      </c>
      <c r="C122" t="s">
        <v>18</v>
      </c>
      <c r="D122" s="8">
        <v>97.8</v>
      </c>
      <c r="E122" s="5">
        <v>36.6</v>
      </c>
      <c r="F122">
        <v>130</v>
      </c>
      <c r="G122">
        <v>83</v>
      </c>
      <c r="H122">
        <v>106</v>
      </c>
      <c r="I122">
        <v>20</v>
      </c>
      <c r="J122">
        <v>99</v>
      </c>
      <c r="K122" t="b">
        <v>1</v>
      </c>
      <c r="L122" t="s">
        <v>16</v>
      </c>
      <c r="M122" t="str">
        <f t="shared" si="5"/>
        <v>Alert</v>
      </c>
      <c r="N122">
        <f t="shared" si="6"/>
        <v>2</v>
      </c>
      <c r="O122">
        <f t="shared" si="7"/>
        <v>3</v>
      </c>
    </row>
    <row r="123" spans="1:15" x14ac:dyDescent="0.3">
      <c r="A123">
        <v>15888360</v>
      </c>
      <c r="B123">
        <v>21436033</v>
      </c>
      <c r="C123" t="s">
        <v>18</v>
      </c>
      <c r="D123" s="8">
        <v>98.3</v>
      </c>
      <c r="E123" s="5">
        <v>36.799999999999997</v>
      </c>
      <c r="F123">
        <v>124</v>
      </c>
      <c r="G123">
        <v>88</v>
      </c>
      <c r="H123">
        <v>83</v>
      </c>
      <c r="I123">
        <v>18</v>
      </c>
      <c r="J123">
        <v>97</v>
      </c>
      <c r="K123" t="b">
        <v>0</v>
      </c>
      <c r="L123" t="s">
        <v>16</v>
      </c>
      <c r="M123" t="str">
        <f t="shared" si="5"/>
        <v>Alert</v>
      </c>
      <c r="N123">
        <f t="shared" si="6"/>
        <v>1</v>
      </c>
      <c r="O123">
        <f t="shared" si="7"/>
        <v>0</v>
      </c>
    </row>
    <row r="124" spans="1:15" x14ac:dyDescent="0.3">
      <c r="A124">
        <v>11277253</v>
      </c>
      <c r="B124">
        <v>22245382</v>
      </c>
      <c r="C124" t="s">
        <v>18</v>
      </c>
      <c r="D124" s="7">
        <v>98.3</v>
      </c>
      <c r="E124" s="4">
        <v>36.799999999999997</v>
      </c>
      <c r="F124">
        <v>120</v>
      </c>
      <c r="G124">
        <v>80</v>
      </c>
      <c r="H124">
        <v>75</v>
      </c>
      <c r="I124">
        <v>16</v>
      </c>
      <c r="J124">
        <v>93</v>
      </c>
      <c r="K124" t="b">
        <v>0</v>
      </c>
      <c r="L124" t="s">
        <v>16</v>
      </c>
      <c r="M124" t="str">
        <f t="shared" si="5"/>
        <v>Alert</v>
      </c>
      <c r="N124">
        <f t="shared" si="6"/>
        <v>1</v>
      </c>
      <c r="O124">
        <f t="shared" si="7"/>
        <v>2</v>
      </c>
    </row>
    <row r="125" spans="1:15" x14ac:dyDescent="0.3">
      <c r="A125">
        <v>16056381</v>
      </c>
      <c r="B125">
        <v>20290460</v>
      </c>
      <c r="C125" t="s">
        <v>18</v>
      </c>
      <c r="D125" s="8">
        <v>98.2</v>
      </c>
      <c r="E125" s="5">
        <v>36.799999999999997</v>
      </c>
      <c r="F125">
        <v>84</v>
      </c>
      <c r="G125">
        <v>160</v>
      </c>
      <c r="H125">
        <v>64</v>
      </c>
      <c r="I125">
        <v>18</v>
      </c>
      <c r="J125">
        <v>99</v>
      </c>
      <c r="K125" t="b">
        <v>0</v>
      </c>
      <c r="L125" t="s">
        <v>16</v>
      </c>
      <c r="M125" t="str">
        <f t="shared" si="5"/>
        <v>Alert</v>
      </c>
      <c r="N125">
        <f t="shared" si="6"/>
        <v>2</v>
      </c>
      <c r="O125">
        <f t="shared" si="7"/>
        <v>3</v>
      </c>
    </row>
    <row r="126" spans="1:15" x14ac:dyDescent="0.3">
      <c r="A126">
        <v>12101085</v>
      </c>
      <c r="B126">
        <v>20768113</v>
      </c>
      <c r="C126" t="s">
        <v>18</v>
      </c>
      <c r="D126" s="7">
        <v>100</v>
      </c>
      <c r="E126" s="4">
        <v>37.799999999999997</v>
      </c>
      <c r="F126">
        <v>126</v>
      </c>
      <c r="G126">
        <v>71</v>
      </c>
      <c r="H126">
        <v>87</v>
      </c>
      <c r="I126">
        <v>20</v>
      </c>
      <c r="J126">
        <v>99</v>
      </c>
      <c r="K126" t="b">
        <v>0</v>
      </c>
      <c r="L126" t="s">
        <v>16</v>
      </c>
      <c r="M126" t="str">
        <f t="shared" si="5"/>
        <v>Alert</v>
      </c>
      <c r="N126">
        <f t="shared" si="6"/>
        <v>1</v>
      </c>
      <c r="O126">
        <f t="shared" si="7"/>
        <v>0</v>
      </c>
    </row>
    <row r="127" spans="1:15" x14ac:dyDescent="0.3">
      <c r="A127">
        <v>18514982</v>
      </c>
      <c r="B127">
        <v>29240516</v>
      </c>
      <c r="C127" t="s">
        <v>18</v>
      </c>
      <c r="D127" s="8">
        <v>98.8</v>
      </c>
      <c r="E127" s="5">
        <v>37.1</v>
      </c>
      <c r="F127">
        <v>109</v>
      </c>
      <c r="G127">
        <v>57</v>
      </c>
      <c r="H127">
        <v>66</v>
      </c>
      <c r="I127">
        <v>16</v>
      </c>
      <c r="J127">
        <v>93</v>
      </c>
      <c r="K127" t="b">
        <v>1</v>
      </c>
      <c r="L127" t="s">
        <v>16</v>
      </c>
      <c r="M127" t="str">
        <f t="shared" si="5"/>
        <v>Alert</v>
      </c>
      <c r="N127">
        <f t="shared" si="6"/>
        <v>1</v>
      </c>
      <c r="O127">
        <f t="shared" si="7"/>
        <v>5</v>
      </c>
    </row>
    <row r="128" spans="1:15" x14ac:dyDescent="0.3">
      <c r="A128">
        <v>16834131</v>
      </c>
      <c r="B128">
        <v>28235569</v>
      </c>
      <c r="C128" t="s">
        <v>18</v>
      </c>
      <c r="D128" s="7">
        <v>103</v>
      </c>
      <c r="E128" s="4">
        <v>39.4</v>
      </c>
      <c r="F128">
        <v>139</v>
      </c>
      <c r="G128">
        <v>97</v>
      </c>
      <c r="H128">
        <v>107</v>
      </c>
      <c r="I128">
        <v>18</v>
      </c>
      <c r="J128">
        <v>100</v>
      </c>
      <c r="K128" t="b">
        <v>1</v>
      </c>
      <c r="L128" t="s">
        <v>20</v>
      </c>
      <c r="M128" t="str">
        <f t="shared" si="5"/>
        <v>Unresponsive</v>
      </c>
      <c r="N128">
        <f t="shared" si="6"/>
        <v>7</v>
      </c>
      <c r="O128">
        <f t="shared" si="7"/>
        <v>8</v>
      </c>
    </row>
    <row r="129" spans="1:15" x14ac:dyDescent="0.3">
      <c r="A129">
        <v>10532466</v>
      </c>
      <c r="B129">
        <v>26825602</v>
      </c>
      <c r="C129" t="s">
        <v>18</v>
      </c>
      <c r="D129" s="8">
        <v>97.9</v>
      </c>
      <c r="E129" s="5">
        <v>36.6</v>
      </c>
      <c r="F129">
        <v>115</v>
      </c>
      <c r="G129">
        <v>81</v>
      </c>
      <c r="H129">
        <v>114</v>
      </c>
      <c r="I129">
        <v>25</v>
      </c>
      <c r="J129">
        <v>99</v>
      </c>
      <c r="K129" t="b">
        <v>1</v>
      </c>
      <c r="L129" t="s">
        <v>16</v>
      </c>
      <c r="M129" t="str">
        <f t="shared" si="5"/>
        <v>Alert</v>
      </c>
      <c r="N129">
        <f t="shared" si="6"/>
        <v>4</v>
      </c>
      <c r="O129">
        <f t="shared" si="7"/>
        <v>7</v>
      </c>
    </row>
    <row r="130" spans="1:15" x14ac:dyDescent="0.3">
      <c r="A130">
        <v>11648170</v>
      </c>
      <c r="B130">
        <v>22659541</v>
      </c>
      <c r="C130" t="s">
        <v>18</v>
      </c>
      <c r="D130" s="8">
        <v>98.1</v>
      </c>
      <c r="E130" s="5">
        <v>36.700000000000003</v>
      </c>
      <c r="F130">
        <v>127</v>
      </c>
      <c r="G130">
        <v>66</v>
      </c>
      <c r="H130">
        <v>92</v>
      </c>
      <c r="I130">
        <v>20</v>
      </c>
      <c r="J130">
        <v>97</v>
      </c>
      <c r="K130" t="b">
        <v>0</v>
      </c>
      <c r="L130" t="s">
        <v>16</v>
      </c>
      <c r="M130" t="str">
        <f t="shared" si="5"/>
        <v>Alert</v>
      </c>
      <c r="N130">
        <f t="shared" si="6"/>
        <v>1</v>
      </c>
      <c r="O130">
        <f t="shared" si="7"/>
        <v>1</v>
      </c>
    </row>
    <row r="131" spans="1:15" x14ac:dyDescent="0.3">
      <c r="A131">
        <v>18625115</v>
      </c>
      <c r="B131">
        <v>20449847</v>
      </c>
      <c r="C131" t="s">
        <v>18</v>
      </c>
      <c r="D131" s="7">
        <v>98.2</v>
      </c>
      <c r="E131" s="4">
        <v>36.799999999999997</v>
      </c>
      <c r="F131">
        <v>116</v>
      </c>
      <c r="G131">
        <v>79</v>
      </c>
      <c r="H131">
        <v>98</v>
      </c>
      <c r="I131">
        <v>16</v>
      </c>
      <c r="J131">
        <v>99</v>
      </c>
      <c r="K131" t="b">
        <v>0</v>
      </c>
      <c r="L131" t="s">
        <v>16</v>
      </c>
      <c r="M131" t="str">
        <f t="shared" si="5"/>
        <v>Alert</v>
      </c>
      <c r="N131">
        <f t="shared" si="6"/>
        <v>1</v>
      </c>
      <c r="O131">
        <f t="shared" si="7"/>
        <v>1</v>
      </c>
    </row>
    <row r="132" spans="1:15" x14ac:dyDescent="0.3">
      <c r="A132">
        <v>18171919</v>
      </c>
      <c r="B132">
        <v>21382811</v>
      </c>
      <c r="C132" t="s">
        <v>18</v>
      </c>
      <c r="D132" s="8">
        <v>100.3</v>
      </c>
      <c r="E132" s="5">
        <v>37.9</v>
      </c>
      <c r="F132">
        <v>180</v>
      </c>
      <c r="G132">
        <v>100</v>
      </c>
      <c r="H132">
        <v>84</v>
      </c>
      <c r="I132">
        <v>18</v>
      </c>
      <c r="J132">
        <v>100</v>
      </c>
      <c r="K132" t="b">
        <v>0</v>
      </c>
      <c r="L132" t="s">
        <v>16</v>
      </c>
      <c r="M132" t="str">
        <f t="shared" si="5"/>
        <v>Alert</v>
      </c>
      <c r="N132">
        <f t="shared" si="6"/>
        <v>1</v>
      </c>
      <c r="O132">
        <f t="shared" si="7"/>
        <v>0</v>
      </c>
    </row>
    <row r="133" spans="1:15" x14ac:dyDescent="0.3">
      <c r="A133">
        <v>17225573</v>
      </c>
      <c r="B133">
        <v>23259628</v>
      </c>
      <c r="C133" t="s">
        <v>18</v>
      </c>
      <c r="D133" s="7">
        <v>98</v>
      </c>
      <c r="E133" s="4">
        <v>36.700000000000003</v>
      </c>
      <c r="F133">
        <v>102</v>
      </c>
      <c r="G133">
        <v>76</v>
      </c>
      <c r="H133">
        <v>74</v>
      </c>
      <c r="I133">
        <v>16</v>
      </c>
      <c r="J133">
        <v>99</v>
      </c>
      <c r="K133" t="b">
        <v>0</v>
      </c>
      <c r="L133" t="s">
        <v>16</v>
      </c>
      <c r="M133" t="str">
        <f t="shared" si="5"/>
        <v>Alert</v>
      </c>
      <c r="N133">
        <f t="shared" si="6"/>
        <v>1</v>
      </c>
      <c r="O133">
        <f t="shared" si="7"/>
        <v>1</v>
      </c>
    </row>
    <row r="134" spans="1:15" x14ac:dyDescent="0.3">
      <c r="A134">
        <v>12795315</v>
      </c>
      <c r="B134">
        <v>25905974</v>
      </c>
      <c r="C134" t="s">
        <v>18</v>
      </c>
      <c r="D134" s="8">
        <v>98.2</v>
      </c>
      <c r="E134" s="5">
        <v>36.799999999999997</v>
      </c>
      <c r="F134">
        <v>142</v>
      </c>
      <c r="G134">
        <v>85</v>
      </c>
      <c r="H134">
        <v>67</v>
      </c>
      <c r="I134">
        <v>18</v>
      </c>
      <c r="J134">
        <v>100</v>
      </c>
      <c r="K134" t="b">
        <v>0</v>
      </c>
      <c r="L134" t="s">
        <v>16</v>
      </c>
      <c r="M134" t="str">
        <f t="shared" si="5"/>
        <v>Alert</v>
      </c>
      <c r="N134">
        <f t="shared" si="6"/>
        <v>1</v>
      </c>
      <c r="O134">
        <f t="shared" si="7"/>
        <v>0</v>
      </c>
    </row>
    <row r="135" spans="1:15" x14ac:dyDescent="0.3">
      <c r="A135">
        <v>19837632</v>
      </c>
      <c r="B135">
        <v>21556883</v>
      </c>
      <c r="C135" t="s">
        <v>18</v>
      </c>
      <c r="D135" s="7">
        <v>99.7</v>
      </c>
      <c r="E135" s="4">
        <v>37.6</v>
      </c>
      <c r="F135">
        <v>148</v>
      </c>
      <c r="G135">
        <v>66</v>
      </c>
      <c r="H135">
        <v>121</v>
      </c>
      <c r="I135">
        <v>18</v>
      </c>
      <c r="J135">
        <v>100</v>
      </c>
      <c r="K135" t="b">
        <v>0</v>
      </c>
      <c r="L135" t="s">
        <v>16</v>
      </c>
      <c r="M135" t="str">
        <f t="shared" si="5"/>
        <v>Alert</v>
      </c>
      <c r="N135">
        <f t="shared" si="6"/>
        <v>3</v>
      </c>
      <c r="O135">
        <f t="shared" si="7"/>
        <v>2</v>
      </c>
    </row>
    <row r="136" spans="1:15" x14ac:dyDescent="0.3">
      <c r="A136">
        <v>17189198</v>
      </c>
      <c r="B136">
        <v>28462942</v>
      </c>
      <c r="C136" t="s">
        <v>18</v>
      </c>
      <c r="D136" s="8">
        <v>98.4</v>
      </c>
      <c r="E136" s="5">
        <v>36.9</v>
      </c>
      <c r="F136">
        <v>124</v>
      </c>
      <c r="G136">
        <v>56</v>
      </c>
      <c r="H136">
        <v>80</v>
      </c>
      <c r="I136">
        <v>18</v>
      </c>
      <c r="J136">
        <v>98</v>
      </c>
      <c r="K136" t="b">
        <v>1</v>
      </c>
      <c r="L136" t="s">
        <v>19</v>
      </c>
      <c r="M136" t="str">
        <f t="shared" si="5"/>
        <v>Alert</v>
      </c>
      <c r="N136">
        <f t="shared" si="6"/>
        <v>1</v>
      </c>
      <c r="O136">
        <f t="shared" si="7"/>
        <v>5</v>
      </c>
    </row>
    <row r="137" spans="1:15" x14ac:dyDescent="0.3">
      <c r="A137">
        <v>18143216</v>
      </c>
      <c r="B137">
        <v>25559565</v>
      </c>
      <c r="C137" t="s">
        <v>17</v>
      </c>
      <c r="D137" s="7">
        <v>98.1</v>
      </c>
      <c r="E137" s="4">
        <v>36.700000000000003</v>
      </c>
      <c r="F137">
        <v>161</v>
      </c>
      <c r="G137">
        <v>60</v>
      </c>
      <c r="H137">
        <v>73</v>
      </c>
      <c r="I137">
        <v>18</v>
      </c>
      <c r="J137">
        <v>98</v>
      </c>
      <c r="K137" t="b">
        <v>0</v>
      </c>
      <c r="L137" t="s">
        <v>16</v>
      </c>
      <c r="M137" t="str">
        <f t="shared" si="5"/>
        <v>Alert</v>
      </c>
      <c r="N137">
        <f t="shared" si="6"/>
        <v>1</v>
      </c>
      <c r="O137">
        <f t="shared" si="7"/>
        <v>0</v>
      </c>
    </row>
    <row r="138" spans="1:15" x14ac:dyDescent="0.3">
      <c r="A138">
        <v>13194187</v>
      </c>
      <c r="B138">
        <v>24552876</v>
      </c>
      <c r="C138" t="s">
        <v>17</v>
      </c>
      <c r="D138" s="8">
        <v>97</v>
      </c>
      <c r="E138" s="5">
        <v>36.1</v>
      </c>
      <c r="F138">
        <v>139</v>
      </c>
      <c r="G138">
        <v>88</v>
      </c>
      <c r="H138">
        <v>82</v>
      </c>
      <c r="I138">
        <v>16</v>
      </c>
      <c r="J138">
        <v>100</v>
      </c>
      <c r="K138" t="b">
        <v>0</v>
      </c>
      <c r="L138" t="s">
        <v>16</v>
      </c>
      <c r="M138" t="str">
        <f t="shared" si="5"/>
        <v>Alert</v>
      </c>
      <c r="N138">
        <f t="shared" si="6"/>
        <v>1</v>
      </c>
      <c r="O138">
        <f t="shared" si="7"/>
        <v>0</v>
      </c>
    </row>
    <row r="139" spans="1:15" x14ac:dyDescent="0.3">
      <c r="A139">
        <v>17955886</v>
      </c>
      <c r="B139">
        <v>29830958</v>
      </c>
      <c r="C139" t="s">
        <v>17</v>
      </c>
      <c r="D139" s="8">
        <v>97.8</v>
      </c>
      <c r="E139" s="5">
        <v>36.6</v>
      </c>
      <c r="F139">
        <v>135</v>
      </c>
      <c r="G139">
        <v>81</v>
      </c>
      <c r="H139">
        <v>82</v>
      </c>
      <c r="I139">
        <v>21</v>
      </c>
      <c r="J139">
        <v>97</v>
      </c>
      <c r="K139" t="b">
        <v>0</v>
      </c>
      <c r="L139" t="s">
        <v>16</v>
      </c>
      <c r="M139" t="str">
        <f t="shared" si="5"/>
        <v>Alert</v>
      </c>
      <c r="N139">
        <f t="shared" si="6"/>
        <v>2</v>
      </c>
      <c r="O139">
        <f t="shared" si="7"/>
        <v>2</v>
      </c>
    </row>
    <row r="140" spans="1:15" x14ac:dyDescent="0.3">
      <c r="A140">
        <v>15881835</v>
      </c>
      <c r="B140">
        <v>21613579</v>
      </c>
      <c r="C140" t="s">
        <v>17</v>
      </c>
      <c r="D140" s="7">
        <v>100.4</v>
      </c>
      <c r="E140" s="4">
        <v>38</v>
      </c>
      <c r="F140">
        <v>130</v>
      </c>
      <c r="G140">
        <v>87</v>
      </c>
      <c r="H140">
        <v>120</v>
      </c>
      <c r="I140">
        <v>24</v>
      </c>
      <c r="J140">
        <v>94</v>
      </c>
      <c r="K140" t="b">
        <v>1</v>
      </c>
      <c r="L140" t="s">
        <v>16</v>
      </c>
      <c r="M140" t="str">
        <f t="shared" si="5"/>
        <v>Alert</v>
      </c>
      <c r="N140">
        <f t="shared" si="6"/>
        <v>4</v>
      </c>
      <c r="O140">
        <f t="shared" si="7"/>
        <v>7</v>
      </c>
    </row>
    <row r="141" spans="1:15" x14ac:dyDescent="0.3">
      <c r="A141">
        <v>12101085</v>
      </c>
      <c r="B141">
        <v>24383538</v>
      </c>
      <c r="C141" t="s">
        <v>17</v>
      </c>
      <c r="D141" s="8">
        <v>98.2</v>
      </c>
      <c r="E141" s="5">
        <v>36.799999999999997</v>
      </c>
      <c r="F141">
        <v>116</v>
      </c>
      <c r="G141">
        <v>44</v>
      </c>
      <c r="H141">
        <v>68</v>
      </c>
      <c r="I141">
        <v>18</v>
      </c>
      <c r="J141">
        <v>100</v>
      </c>
      <c r="K141" t="b">
        <v>0</v>
      </c>
      <c r="L141" t="s">
        <v>16</v>
      </c>
      <c r="M141" t="str">
        <f t="shared" si="5"/>
        <v>Alert</v>
      </c>
      <c r="N141">
        <f t="shared" si="6"/>
        <v>1</v>
      </c>
      <c r="O141">
        <f t="shared" si="7"/>
        <v>0</v>
      </c>
    </row>
    <row r="142" spans="1:15" x14ac:dyDescent="0.3">
      <c r="A142">
        <v>18500776</v>
      </c>
      <c r="B142">
        <v>27028712</v>
      </c>
      <c r="C142" t="s">
        <v>17</v>
      </c>
      <c r="D142" s="7">
        <v>99.6</v>
      </c>
      <c r="E142" s="4">
        <v>37.6</v>
      </c>
      <c r="F142">
        <v>116</v>
      </c>
      <c r="G142">
        <v>69</v>
      </c>
      <c r="H142">
        <v>108</v>
      </c>
      <c r="I142">
        <v>16</v>
      </c>
      <c r="J142">
        <v>100</v>
      </c>
      <c r="K142" t="b">
        <v>0</v>
      </c>
      <c r="L142" t="s">
        <v>20</v>
      </c>
      <c r="M142" t="str">
        <f t="shared" si="5"/>
        <v>Unresponsive</v>
      </c>
      <c r="N142">
        <f t="shared" si="6"/>
        <v>5</v>
      </c>
      <c r="O142">
        <f t="shared" si="7"/>
        <v>4</v>
      </c>
    </row>
    <row r="143" spans="1:15" x14ac:dyDescent="0.3">
      <c r="A143">
        <v>15446655</v>
      </c>
      <c r="B143">
        <v>25850101</v>
      </c>
      <c r="C143" t="s">
        <v>17</v>
      </c>
      <c r="D143" s="8">
        <v>98</v>
      </c>
      <c r="E143" s="5">
        <v>36.700000000000003</v>
      </c>
      <c r="F143">
        <v>154</v>
      </c>
      <c r="G143">
        <v>95</v>
      </c>
      <c r="H143">
        <v>119</v>
      </c>
      <c r="I143">
        <v>20</v>
      </c>
      <c r="J143">
        <v>95</v>
      </c>
      <c r="K143" t="b">
        <v>1</v>
      </c>
      <c r="L143" t="s">
        <v>16</v>
      </c>
      <c r="M143" t="str">
        <f t="shared" si="5"/>
        <v>Alert</v>
      </c>
      <c r="N143">
        <f t="shared" si="6"/>
        <v>3</v>
      </c>
      <c r="O143">
        <f t="shared" si="7"/>
        <v>5</v>
      </c>
    </row>
    <row r="144" spans="1:15" x14ac:dyDescent="0.3">
      <c r="A144">
        <v>15753793</v>
      </c>
      <c r="B144">
        <v>21436965</v>
      </c>
      <c r="C144" t="s">
        <v>17</v>
      </c>
      <c r="D144" s="8">
        <v>98.7</v>
      </c>
      <c r="E144" s="5">
        <v>37.1</v>
      </c>
      <c r="F144">
        <v>140</v>
      </c>
      <c r="G144">
        <v>67</v>
      </c>
      <c r="H144">
        <v>110</v>
      </c>
      <c r="I144">
        <v>16</v>
      </c>
      <c r="J144">
        <v>97</v>
      </c>
      <c r="K144" t="b">
        <v>1</v>
      </c>
      <c r="L144" t="s">
        <v>20</v>
      </c>
      <c r="M144" t="str">
        <f t="shared" si="5"/>
        <v>Unresponsive</v>
      </c>
      <c r="N144">
        <f t="shared" si="6"/>
        <v>5</v>
      </c>
      <c r="O144">
        <f t="shared" si="7"/>
        <v>6</v>
      </c>
    </row>
    <row r="145" spans="1:15" x14ac:dyDescent="0.3">
      <c r="A145">
        <v>11276090</v>
      </c>
      <c r="B145">
        <v>25987495</v>
      </c>
      <c r="C145" t="s">
        <v>15</v>
      </c>
      <c r="D145" s="8">
        <v>98.5</v>
      </c>
      <c r="E145" s="5">
        <v>36.9</v>
      </c>
      <c r="F145">
        <v>145</v>
      </c>
      <c r="G145">
        <v>76</v>
      </c>
      <c r="H145">
        <v>75</v>
      </c>
      <c r="I145">
        <v>16</v>
      </c>
      <c r="J145">
        <v>99</v>
      </c>
      <c r="K145" t="b">
        <v>0</v>
      </c>
      <c r="L145" t="s">
        <v>16</v>
      </c>
      <c r="M145" t="str">
        <f t="shared" si="5"/>
        <v>Alert</v>
      </c>
      <c r="N145">
        <f t="shared" si="6"/>
        <v>1</v>
      </c>
      <c r="O145">
        <f t="shared" si="7"/>
        <v>0</v>
      </c>
    </row>
    <row r="146" spans="1:15" x14ac:dyDescent="0.3">
      <c r="A146">
        <v>16059753</v>
      </c>
      <c r="B146">
        <v>26482489</v>
      </c>
      <c r="C146" t="s">
        <v>15</v>
      </c>
      <c r="D146" s="7">
        <v>98.8</v>
      </c>
      <c r="E146" s="4">
        <v>37.1</v>
      </c>
      <c r="F146">
        <v>109</v>
      </c>
      <c r="G146">
        <v>98</v>
      </c>
      <c r="H146" t="s">
        <v>23</v>
      </c>
      <c r="I146">
        <v>16</v>
      </c>
      <c r="J146">
        <v>99</v>
      </c>
      <c r="K146" t="b">
        <v>0</v>
      </c>
      <c r="L146" t="s">
        <v>16</v>
      </c>
      <c r="M146" t="str">
        <f t="shared" si="5"/>
        <v>Alert</v>
      </c>
      <c r="N146" t="s">
        <v>23</v>
      </c>
      <c r="O146" t="s">
        <v>23</v>
      </c>
    </row>
    <row r="147" spans="1:15" x14ac:dyDescent="0.3">
      <c r="A147">
        <v>19315003</v>
      </c>
      <c r="B147">
        <v>25669314</v>
      </c>
      <c r="C147" t="s">
        <v>15</v>
      </c>
      <c r="D147" s="7">
        <v>98.7</v>
      </c>
      <c r="E147" s="4">
        <v>37.1</v>
      </c>
      <c r="F147">
        <v>118</v>
      </c>
      <c r="G147">
        <v>74</v>
      </c>
      <c r="H147">
        <v>97</v>
      </c>
      <c r="I147">
        <v>18</v>
      </c>
      <c r="J147">
        <v>98</v>
      </c>
      <c r="K147" t="b">
        <v>0</v>
      </c>
      <c r="L147" t="s">
        <v>16</v>
      </c>
      <c r="M147" t="str">
        <f t="shared" si="5"/>
        <v>Alert</v>
      </c>
      <c r="N147">
        <f t="shared" ref="N147:N152" si="8">IF(I147&lt;9,2,IF(I147&lt;=14,0,IF(I147&lt;=20,1,IF(I147&lt;=29,2,3)))) + IF(H147&lt;40,2,IF(H147&lt;=50,1,IF(H147&lt;=100,0,IF(H147&lt;=110,1,IF(H147&lt;=129,2,3))))) + IF(F147&lt;=70,3,IF(F147&lt;=80,2,IF(F147&lt;=100,1,IF(F147&lt;=199,0,2)))) + IF(E147&lt;35,2,IF(E147&lt;=38.4,0,IF(E147&lt;=38.9,1,2))) + IF(M147="Alert",0,IF(M147="Voice",1,IF(M147="Pain",2,IF(M147="Unresponsive",3,0))))</f>
        <v>1</v>
      </c>
      <c r="O147">
        <f t="shared" ref="O147:O152" si="9">IF(I147&lt;=8,3,IF(I147&lt;=11,1,IF(I147&lt;=20,0,IF(I147&lt;=24,2,3)))) + IF(J147&lt;=91,3,IF(J147&lt;=93,2,IF(J147&lt;=95,1,0))) + IF(K147=TRUE,2,0) + IF(F147&lt;=90,3,IF(F147&lt;=100,2,IF(F147&lt;=110,1,IF(F147&lt;=219,0,3)))) + IF(H147&lt;=40,3,IF(H147&lt;=50,1,IF(H147&lt;=90,0,IF(H147&lt;=110,1,IF(H147&lt;=130,2,3))))) + IF(E147&lt;=35,3,IF(E147&lt;=36,1,IF(E147&lt;=38,0,IF(E147&lt;=39,1,2)))) + IF(L147="Alert",0,3)</f>
        <v>1</v>
      </c>
    </row>
    <row r="148" spans="1:15" x14ac:dyDescent="0.3">
      <c r="A148">
        <v>18491974</v>
      </c>
      <c r="B148">
        <v>27740201</v>
      </c>
      <c r="C148" t="s">
        <v>15</v>
      </c>
      <c r="D148" s="8">
        <v>97.7</v>
      </c>
      <c r="E148" s="5">
        <v>36.5</v>
      </c>
      <c r="F148">
        <v>127</v>
      </c>
      <c r="G148">
        <v>63</v>
      </c>
      <c r="H148">
        <v>78</v>
      </c>
      <c r="I148">
        <v>16</v>
      </c>
      <c r="J148">
        <v>100</v>
      </c>
      <c r="K148" t="b">
        <v>1</v>
      </c>
      <c r="L148" t="s">
        <v>22</v>
      </c>
      <c r="M148" t="str">
        <f t="shared" si="5"/>
        <v>Voice</v>
      </c>
      <c r="N148">
        <f t="shared" si="8"/>
        <v>2</v>
      </c>
      <c r="O148">
        <f t="shared" si="9"/>
        <v>5</v>
      </c>
    </row>
    <row r="149" spans="1:15" x14ac:dyDescent="0.3">
      <c r="A149">
        <v>16810846</v>
      </c>
      <c r="B149">
        <v>23833366</v>
      </c>
      <c r="C149" t="s">
        <v>15</v>
      </c>
      <c r="D149" s="7">
        <v>97.9</v>
      </c>
      <c r="E149" s="4">
        <v>36.6</v>
      </c>
      <c r="F149">
        <v>145</v>
      </c>
      <c r="G149">
        <v>85</v>
      </c>
      <c r="H149">
        <v>74</v>
      </c>
      <c r="I149">
        <v>16</v>
      </c>
      <c r="J149">
        <v>99</v>
      </c>
      <c r="K149" t="b">
        <v>0</v>
      </c>
      <c r="L149" t="s">
        <v>16</v>
      </c>
      <c r="M149" t="str">
        <f t="shared" si="5"/>
        <v>Alert</v>
      </c>
      <c r="N149">
        <f t="shared" si="8"/>
        <v>1</v>
      </c>
      <c r="O149">
        <f t="shared" si="9"/>
        <v>0</v>
      </c>
    </row>
    <row r="150" spans="1:15" x14ac:dyDescent="0.3">
      <c r="A150">
        <v>10716785</v>
      </c>
      <c r="B150">
        <v>22240986</v>
      </c>
      <c r="C150" t="s">
        <v>15</v>
      </c>
      <c r="D150" s="8">
        <v>98.6</v>
      </c>
      <c r="E150" s="5">
        <v>37</v>
      </c>
      <c r="F150">
        <v>90</v>
      </c>
      <c r="G150">
        <v>58</v>
      </c>
      <c r="H150">
        <v>67</v>
      </c>
      <c r="I150">
        <v>18</v>
      </c>
      <c r="J150">
        <v>100</v>
      </c>
      <c r="K150" t="b">
        <v>0</v>
      </c>
      <c r="L150" t="s">
        <v>16</v>
      </c>
      <c r="M150" t="str">
        <f t="shared" si="5"/>
        <v>Alert</v>
      </c>
      <c r="N150">
        <f t="shared" si="8"/>
        <v>2</v>
      </c>
      <c r="O150">
        <f t="shared" si="9"/>
        <v>3</v>
      </c>
    </row>
    <row r="151" spans="1:15" ht="15" customHeight="1" x14ac:dyDescent="0.3">
      <c r="A151">
        <v>15780880</v>
      </c>
      <c r="B151">
        <v>29330233</v>
      </c>
      <c r="C151" t="s">
        <v>15</v>
      </c>
      <c r="D151" s="7">
        <v>98.8</v>
      </c>
      <c r="E151" s="4">
        <v>37.1</v>
      </c>
      <c r="F151">
        <v>90</v>
      </c>
      <c r="G151">
        <v>38</v>
      </c>
      <c r="H151">
        <v>128</v>
      </c>
      <c r="I151">
        <v>14</v>
      </c>
      <c r="J151">
        <v>95</v>
      </c>
      <c r="K151" t="b">
        <v>1</v>
      </c>
      <c r="L151" t="s">
        <v>22</v>
      </c>
      <c r="M151" t="str">
        <f t="shared" si="5"/>
        <v>Voice</v>
      </c>
      <c r="N151">
        <f t="shared" si="8"/>
        <v>4</v>
      </c>
      <c r="O151">
        <f t="shared" si="9"/>
        <v>11</v>
      </c>
    </row>
    <row r="152" spans="1:15" x14ac:dyDescent="0.3">
      <c r="A152">
        <v>15279385</v>
      </c>
      <c r="B152">
        <v>20622340</v>
      </c>
      <c r="C152" t="s">
        <v>15</v>
      </c>
      <c r="D152" s="7">
        <v>97.7</v>
      </c>
      <c r="E152" s="4">
        <v>36.5</v>
      </c>
      <c r="F152">
        <v>150</v>
      </c>
      <c r="G152">
        <v>68</v>
      </c>
      <c r="H152">
        <v>114</v>
      </c>
      <c r="I152">
        <v>18</v>
      </c>
      <c r="J152">
        <v>94</v>
      </c>
      <c r="K152" t="b">
        <v>1</v>
      </c>
      <c r="L152" t="s">
        <v>16</v>
      </c>
      <c r="M152" t="str">
        <f t="shared" ref="M152:M183" si="10">IF(L152="Confusion", "Alert", L152)</f>
        <v>Alert</v>
      </c>
      <c r="N152">
        <f t="shared" si="8"/>
        <v>3</v>
      </c>
      <c r="O152">
        <f t="shared" si="9"/>
        <v>5</v>
      </c>
    </row>
    <row r="153" spans="1:15" x14ac:dyDescent="0.3">
      <c r="A153">
        <v>18149074</v>
      </c>
      <c r="B153">
        <v>21813687</v>
      </c>
      <c r="C153" t="s">
        <v>15</v>
      </c>
      <c r="D153" s="8" t="s">
        <v>23</v>
      </c>
      <c r="E153" s="5"/>
      <c r="F153">
        <v>107</v>
      </c>
      <c r="G153">
        <v>65</v>
      </c>
      <c r="H153">
        <v>104</v>
      </c>
      <c r="I153">
        <v>22</v>
      </c>
      <c r="J153">
        <v>100</v>
      </c>
      <c r="K153" t="b">
        <v>0</v>
      </c>
      <c r="L153" t="s">
        <v>16</v>
      </c>
      <c r="M153" t="str">
        <f t="shared" si="10"/>
        <v>Alert</v>
      </c>
      <c r="N153" t="s">
        <v>23</v>
      </c>
      <c r="O153" t="s">
        <v>23</v>
      </c>
    </row>
    <row r="154" spans="1:15" x14ac:dyDescent="0.3">
      <c r="A154">
        <v>14644973</v>
      </c>
      <c r="B154">
        <v>29757292</v>
      </c>
      <c r="C154" t="s">
        <v>17</v>
      </c>
      <c r="D154" s="7">
        <v>98.5</v>
      </c>
      <c r="E154" s="4">
        <v>36.9</v>
      </c>
      <c r="F154">
        <v>155</v>
      </c>
      <c r="G154">
        <v>64</v>
      </c>
      <c r="H154">
        <v>69</v>
      </c>
      <c r="I154">
        <v>18</v>
      </c>
      <c r="J154">
        <v>100</v>
      </c>
      <c r="K154" t="b">
        <v>0</v>
      </c>
      <c r="L154" t="s">
        <v>16</v>
      </c>
      <c r="M154" t="str">
        <f t="shared" si="10"/>
        <v>Alert</v>
      </c>
      <c r="N154">
        <f>IF(I154&lt;9,2,IF(I154&lt;=14,0,IF(I154&lt;=20,1,IF(I154&lt;=29,2,3)))) + IF(H154&lt;40,2,IF(H154&lt;=50,1,IF(H154&lt;=100,0,IF(H154&lt;=110,1,IF(H154&lt;=129,2,3))))) + IF(F154&lt;=70,3,IF(F154&lt;=80,2,IF(F154&lt;=100,1,IF(F154&lt;=199,0,2)))) + IF(E154&lt;35,2,IF(E154&lt;=38.4,0,IF(E154&lt;=38.9,1,2))) + IF(M154="Alert",0,IF(M154="Voice",1,IF(M154="Pain",2,IF(M154="Unresponsive",3,0))))</f>
        <v>1</v>
      </c>
      <c r="O154">
        <f>IF(I154&lt;=8,3,IF(I154&lt;=11,1,IF(I154&lt;=20,0,IF(I154&lt;=24,2,3)))) + IF(J154&lt;=91,3,IF(J154&lt;=93,2,IF(J154&lt;=95,1,0))) + IF(K154=TRUE,2,0) + IF(F154&lt;=90,3,IF(F154&lt;=100,2,IF(F154&lt;=110,1,IF(F154&lt;=219,0,3)))) + IF(H154&lt;=40,3,IF(H154&lt;=50,1,IF(H154&lt;=90,0,IF(H154&lt;=110,1,IF(H154&lt;=130,2,3))))) + IF(E154&lt;=35,3,IF(E154&lt;=36,1,IF(E154&lt;=38,0,IF(E154&lt;=39,1,2)))) + IF(L154="Alert",0,3)</f>
        <v>0</v>
      </c>
    </row>
    <row r="155" spans="1:15" x14ac:dyDescent="0.3">
      <c r="A155">
        <v>11640157</v>
      </c>
      <c r="B155">
        <v>29617103</v>
      </c>
      <c r="C155" t="s">
        <v>17</v>
      </c>
      <c r="D155" s="8">
        <v>98.1</v>
      </c>
      <c r="E155" s="5">
        <v>36.700000000000003</v>
      </c>
      <c r="F155">
        <v>137</v>
      </c>
      <c r="G155">
        <v>74</v>
      </c>
      <c r="H155">
        <v>43</v>
      </c>
      <c r="I155">
        <v>16</v>
      </c>
      <c r="J155">
        <v>100</v>
      </c>
      <c r="K155" t="b">
        <v>0</v>
      </c>
      <c r="L155" t="s">
        <v>16</v>
      </c>
      <c r="M155" t="str">
        <f t="shared" si="10"/>
        <v>Alert</v>
      </c>
      <c r="N155">
        <f>IF(I155&lt;9,2,IF(I155&lt;=14,0,IF(I155&lt;=20,1,IF(I155&lt;=29,2,3)))) + IF(H155&lt;40,2,IF(H155&lt;=50,1,IF(H155&lt;=100,0,IF(H155&lt;=110,1,IF(H155&lt;=129,2,3))))) + IF(F155&lt;=70,3,IF(F155&lt;=80,2,IF(F155&lt;=100,1,IF(F155&lt;=199,0,2)))) + IF(E155&lt;35,2,IF(E155&lt;=38.4,0,IF(E155&lt;=38.9,1,2))) + IF(M155="Alert",0,IF(M155="Voice",1,IF(M155="Pain",2,IF(M155="Unresponsive",3,0))))</f>
        <v>2</v>
      </c>
      <c r="O155">
        <f>IF(I155&lt;=8,3,IF(I155&lt;=11,1,IF(I155&lt;=20,0,IF(I155&lt;=24,2,3)))) + IF(J155&lt;=91,3,IF(J155&lt;=93,2,IF(J155&lt;=95,1,0))) + IF(K155=TRUE,2,0) + IF(F155&lt;=90,3,IF(F155&lt;=100,2,IF(F155&lt;=110,1,IF(F155&lt;=219,0,3)))) + IF(H155&lt;=40,3,IF(H155&lt;=50,1,IF(H155&lt;=90,0,IF(H155&lt;=110,1,IF(H155&lt;=130,2,3))))) + IF(E155&lt;=35,3,IF(E155&lt;=36,1,IF(E155&lt;=38,0,IF(E155&lt;=39,1,2)))) + IF(L155="Alert",0,3)</f>
        <v>1</v>
      </c>
    </row>
    <row r="156" spans="1:15" x14ac:dyDescent="0.3">
      <c r="A156">
        <v>17211958</v>
      </c>
      <c r="B156">
        <v>20089707</v>
      </c>
      <c r="C156" t="s">
        <v>17</v>
      </c>
      <c r="D156" s="7">
        <v>98.4</v>
      </c>
      <c r="E156" s="5">
        <f>ROUND((D156-32)*(5/9),1)</f>
        <v>36.9</v>
      </c>
      <c r="F156">
        <v>148</v>
      </c>
      <c r="G156">
        <v>80</v>
      </c>
      <c r="H156">
        <v>76</v>
      </c>
      <c r="I156">
        <v>16</v>
      </c>
      <c r="J156">
        <v>97</v>
      </c>
      <c r="K156" t="b">
        <v>0</v>
      </c>
      <c r="L156" t="s">
        <v>16</v>
      </c>
      <c r="M156" t="s">
        <v>16</v>
      </c>
      <c r="N156">
        <f>IF(I156&lt;9,2,IF(I156&lt;=14,0,IF(I156&lt;=20,1,IF(I156&lt;=29,2,3))))+IF(H156&lt;=40,2,IF(H156&lt;=50,1,IF(H156&lt;=100,0,IF(H156&lt;=110,1,IF(H156&lt;=129,2,3)))))+IF(F156&lt;=70,3,IF(F156&lt;=80,2,IF(F156&lt;=100,1,IF(F156&lt;200,0,IF(F156&gt;=200,2,0)))))+IF(E156&lt;35,2,IF(E156&lt;=38.4,0,2))+IF(M156="Alert",0,IF(M156="Voice",1,IF(M156="Pain",2,IF(M156="Unresponsive",3,0))))</f>
        <v>1</v>
      </c>
      <c r="O156">
        <f>IF(I156&lt;=8,3,IF(I156&lt;=11,1,IF(I156&lt;=20,0,IF(I156&lt;=24,2,3))))
+IF(J156&lt;=91,3,IF(J156&lt;=93,2,IF(J156&lt;=95,1,0)))
+IF(K156=TRUE,2,0)
+IF(F156&lt;=90,3,IF(F156&lt;=100,2,IF(F156&lt;=110,1,IF(F156&lt;=219,0,3))))
+IF(H156&lt;=40,3,IF(H156&lt;=50,1,IF(H156&lt;=90,0,IF(H156&lt;=110,1,IF(H156&lt;=130,2,3)))))
+IF(M156="Alert",0,3)
+IF(E156&lt;=35,3,IF(E156&lt;=36,1,IF(E156&lt;=38,0,IF(E156&lt;=39,1,2))))</f>
        <v>0</v>
      </c>
    </row>
    <row r="157" spans="1:15" x14ac:dyDescent="0.3">
      <c r="A157">
        <v>16402426</v>
      </c>
      <c r="B157">
        <v>20095203</v>
      </c>
      <c r="C157" t="s">
        <v>15</v>
      </c>
      <c r="D157" s="8">
        <v>101.3</v>
      </c>
      <c r="E157" s="5">
        <f t="shared" ref="E157:E220" si="11">ROUND((D157-32)*(5/9),1)</f>
        <v>38.5</v>
      </c>
      <c r="F157">
        <v>120</v>
      </c>
      <c r="G157">
        <v>70</v>
      </c>
      <c r="H157">
        <v>99</v>
      </c>
      <c r="I157">
        <v>20</v>
      </c>
      <c r="J157">
        <v>99</v>
      </c>
      <c r="K157" t="b">
        <v>0</v>
      </c>
      <c r="L157" t="s">
        <v>16</v>
      </c>
      <c r="M157" t="s">
        <v>16</v>
      </c>
      <c r="N157">
        <f t="shared" ref="N157:N220" si="12">IF(I157&lt;9,2,IF(I157&lt;=14,0,IF(I157&lt;=20,1,IF(I157&lt;=29,2,3))))+IF(H157&lt;=40,2,IF(H157&lt;=50,1,IF(H157&lt;=100,0,IF(H157&lt;=110,1,IF(H157&lt;=129,2,3)))))+IF(F157&lt;=70,3,IF(F157&lt;=80,2,IF(F157&lt;=100,1,IF(F157&lt;200,0,IF(F157&gt;=200,2,0)))))+IF(E157&lt;35,2,IF(E157&lt;=38.4,0,2))+IF(M157="Alert",0,IF(M157="Voice",1,IF(M157="Pain",2,IF(M157="Unresponsive",3,0))))</f>
        <v>3</v>
      </c>
      <c r="O157">
        <f t="shared" ref="O157:O220" si="13">IF(I157&lt;=8,3,IF(I157&lt;=11,1,IF(I157&lt;=20,0,IF(I157&lt;=24,2,3))))
+IF(J157&lt;=91,3,IF(J157&lt;=93,2,IF(J157&lt;=95,1,0)))
+IF(K157=TRUE,2,0)
+IF(F157&lt;=90,3,IF(F157&lt;=100,2,IF(F157&lt;=110,1,IF(F157&lt;=219,0,3))))
+IF(H157&lt;=40,3,IF(H157&lt;=50,1,IF(H157&lt;=90,0,IF(H157&lt;=110,1,IF(H157&lt;=130,2,3)))))
+IF(M157="Alert",0,3)
+IF(E157&lt;=35,3,IF(E157&lt;=36,1,IF(E157&lt;=38,0,IF(E157&lt;=39,1,2))))</f>
        <v>2</v>
      </c>
    </row>
    <row r="158" spans="1:15" x14ac:dyDescent="0.3">
      <c r="A158">
        <v>12946587</v>
      </c>
      <c r="B158">
        <v>20370695</v>
      </c>
      <c r="C158" t="s">
        <v>15</v>
      </c>
      <c r="D158" s="9">
        <v>98</v>
      </c>
      <c r="E158" s="5">
        <f t="shared" si="11"/>
        <v>36.700000000000003</v>
      </c>
      <c r="F158">
        <v>123</v>
      </c>
      <c r="G158">
        <v>55</v>
      </c>
      <c r="H158">
        <v>65</v>
      </c>
      <c r="I158">
        <v>18</v>
      </c>
      <c r="J158">
        <v>99</v>
      </c>
      <c r="K158" t="b">
        <v>0</v>
      </c>
      <c r="L158" t="s">
        <v>16</v>
      </c>
      <c r="M158" t="s">
        <v>16</v>
      </c>
      <c r="N158">
        <f t="shared" si="12"/>
        <v>1</v>
      </c>
      <c r="O158">
        <f t="shared" si="13"/>
        <v>0</v>
      </c>
    </row>
    <row r="159" spans="1:15" x14ac:dyDescent="0.3">
      <c r="A159">
        <v>13876660</v>
      </c>
      <c r="B159">
        <v>20411393</v>
      </c>
      <c r="C159" t="s">
        <v>15</v>
      </c>
      <c r="D159" s="10">
        <v>98</v>
      </c>
      <c r="E159" s="5">
        <f t="shared" si="11"/>
        <v>36.700000000000003</v>
      </c>
      <c r="F159">
        <v>128</v>
      </c>
      <c r="G159">
        <v>69</v>
      </c>
      <c r="H159">
        <v>60</v>
      </c>
      <c r="I159">
        <v>14</v>
      </c>
      <c r="J159">
        <v>96</v>
      </c>
      <c r="K159" t="b">
        <v>0</v>
      </c>
      <c r="L159" t="s">
        <v>16</v>
      </c>
      <c r="M159" t="s">
        <v>16</v>
      </c>
      <c r="N159">
        <f t="shared" si="12"/>
        <v>0</v>
      </c>
      <c r="O159">
        <f t="shared" si="13"/>
        <v>0</v>
      </c>
    </row>
    <row r="160" spans="1:15" x14ac:dyDescent="0.3">
      <c r="A160">
        <v>11723660</v>
      </c>
      <c r="B160">
        <v>20502229</v>
      </c>
      <c r="C160" t="s">
        <v>17</v>
      </c>
      <c r="D160">
        <v>98.3</v>
      </c>
      <c r="E160" s="5">
        <f t="shared" si="11"/>
        <v>36.799999999999997</v>
      </c>
      <c r="F160">
        <v>123</v>
      </c>
      <c r="G160">
        <v>85</v>
      </c>
      <c r="H160">
        <v>118</v>
      </c>
      <c r="I160">
        <v>20</v>
      </c>
      <c r="J160">
        <v>94</v>
      </c>
      <c r="K160" t="b">
        <v>0</v>
      </c>
      <c r="L160" t="s">
        <v>16</v>
      </c>
      <c r="M160" t="s">
        <v>16</v>
      </c>
      <c r="N160">
        <f t="shared" si="12"/>
        <v>3</v>
      </c>
      <c r="O160">
        <f t="shared" si="13"/>
        <v>3</v>
      </c>
    </row>
    <row r="161" spans="1:15" x14ac:dyDescent="0.3">
      <c r="A161">
        <v>16566233</v>
      </c>
      <c r="B161">
        <v>21007184</v>
      </c>
      <c r="C161" t="s">
        <v>15</v>
      </c>
      <c r="D161">
        <v>97.5</v>
      </c>
      <c r="E161" s="5">
        <f t="shared" si="11"/>
        <v>36.4</v>
      </c>
      <c r="F161">
        <v>160</v>
      </c>
      <c r="G161">
        <v>110</v>
      </c>
      <c r="H161">
        <v>81</v>
      </c>
      <c r="I161">
        <v>18</v>
      </c>
      <c r="J161">
        <v>96</v>
      </c>
      <c r="K161" t="b">
        <v>0</v>
      </c>
      <c r="L161" t="s">
        <v>16</v>
      </c>
      <c r="M161" t="s">
        <v>16</v>
      </c>
      <c r="N161">
        <f t="shared" si="12"/>
        <v>1</v>
      </c>
      <c r="O161">
        <f t="shared" si="13"/>
        <v>0</v>
      </c>
    </row>
    <row r="162" spans="1:15" x14ac:dyDescent="0.3">
      <c r="A162">
        <v>19332122</v>
      </c>
      <c r="B162">
        <v>21075884</v>
      </c>
      <c r="C162" t="s">
        <v>17</v>
      </c>
      <c r="D162" t="s">
        <v>23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b">
        <v>0</v>
      </c>
      <c r="L162" t="s">
        <v>16</v>
      </c>
      <c r="M162" t="s">
        <v>16</v>
      </c>
      <c r="N162" t="s">
        <v>23</v>
      </c>
      <c r="O162" t="s">
        <v>23</v>
      </c>
    </row>
    <row r="163" spans="1:15" x14ac:dyDescent="0.3">
      <c r="A163">
        <v>18606160</v>
      </c>
      <c r="B163">
        <v>21234889</v>
      </c>
      <c r="C163" t="s">
        <v>15</v>
      </c>
      <c r="D163">
        <v>98.9</v>
      </c>
      <c r="E163" s="5">
        <f t="shared" si="11"/>
        <v>37.200000000000003</v>
      </c>
      <c r="F163">
        <v>126</v>
      </c>
      <c r="G163">
        <v>20</v>
      </c>
      <c r="H163">
        <v>88</v>
      </c>
      <c r="I163">
        <v>20</v>
      </c>
      <c r="J163">
        <v>97</v>
      </c>
      <c r="K163" t="b">
        <v>0</v>
      </c>
      <c r="L163" t="s">
        <v>16</v>
      </c>
      <c r="M163" t="s">
        <v>16</v>
      </c>
      <c r="N163">
        <f t="shared" si="12"/>
        <v>1</v>
      </c>
      <c r="O163">
        <f t="shared" si="13"/>
        <v>0</v>
      </c>
    </row>
    <row r="164" spans="1:15" x14ac:dyDescent="0.3">
      <c r="A164">
        <v>18284921</v>
      </c>
      <c r="B164">
        <v>21304621</v>
      </c>
      <c r="C164" t="s">
        <v>15</v>
      </c>
      <c r="D164">
        <v>97.8</v>
      </c>
      <c r="E164" s="5">
        <f t="shared" si="11"/>
        <v>36.6</v>
      </c>
      <c r="F164">
        <v>135</v>
      </c>
      <c r="G164">
        <v>79</v>
      </c>
      <c r="H164">
        <v>85</v>
      </c>
      <c r="I164">
        <v>17</v>
      </c>
      <c r="J164">
        <v>97</v>
      </c>
      <c r="K164" t="b">
        <v>0</v>
      </c>
      <c r="L164" t="s">
        <v>16</v>
      </c>
      <c r="M164" t="s">
        <v>16</v>
      </c>
      <c r="N164">
        <f t="shared" si="12"/>
        <v>1</v>
      </c>
      <c r="O164">
        <f t="shared" si="13"/>
        <v>0</v>
      </c>
    </row>
    <row r="165" spans="1:15" x14ac:dyDescent="0.3">
      <c r="A165">
        <v>10626542</v>
      </c>
      <c r="B165">
        <v>21419975</v>
      </c>
      <c r="C165" t="s">
        <v>18</v>
      </c>
      <c r="D165">
        <v>97.9</v>
      </c>
      <c r="E165" s="5">
        <f t="shared" si="11"/>
        <v>36.6</v>
      </c>
      <c r="F165">
        <v>138</v>
      </c>
      <c r="G165">
        <v>65</v>
      </c>
      <c r="H165">
        <v>71</v>
      </c>
      <c r="I165">
        <v>20</v>
      </c>
      <c r="J165">
        <v>97</v>
      </c>
      <c r="K165" t="b">
        <v>0</v>
      </c>
      <c r="L165" t="s">
        <v>16</v>
      </c>
      <c r="M165" t="s">
        <v>16</v>
      </c>
      <c r="N165">
        <f t="shared" si="12"/>
        <v>1</v>
      </c>
      <c r="O165">
        <f t="shared" si="13"/>
        <v>0</v>
      </c>
    </row>
    <row r="166" spans="1:15" x14ac:dyDescent="0.3">
      <c r="A166">
        <v>16536362</v>
      </c>
      <c r="B166">
        <v>21511681</v>
      </c>
      <c r="C166" t="s">
        <v>17</v>
      </c>
      <c r="D166" t="s">
        <v>23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b">
        <v>0</v>
      </c>
      <c r="L166" t="s">
        <v>16</v>
      </c>
      <c r="M166" t="s">
        <v>16</v>
      </c>
      <c r="N166" t="s">
        <v>23</v>
      </c>
      <c r="O166" t="s">
        <v>23</v>
      </c>
    </row>
    <row r="167" spans="1:15" x14ac:dyDescent="0.3">
      <c r="A167">
        <v>15376111</v>
      </c>
      <c r="B167">
        <v>21586695</v>
      </c>
      <c r="C167" t="s">
        <v>17</v>
      </c>
      <c r="D167">
        <v>98.3</v>
      </c>
      <c r="E167" s="5">
        <f t="shared" si="11"/>
        <v>36.799999999999997</v>
      </c>
      <c r="F167">
        <v>133</v>
      </c>
      <c r="G167">
        <v>62</v>
      </c>
      <c r="H167">
        <v>94</v>
      </c>
      <c r="I167">
        <v>18</v>
      </c>
      <c r="J167">
        <v>99</v>
      </c>
      <c r="K167" t="b">
        <v>0</v>
      </c>
      <c r="L167" t="s">
        <v>16</v>
      </c>
      <c r="M167" t="s">
        <v>16</v>
      </c>
      <c r="N167">
        <f t="shared" si="12"/>
        <v>1</v>
      </c>
      <c r="O167">
        <f t="shared" si="13"/>
        <v>1</v>
      </c>
    </row>
    <row r="168" spans="1:15" x14ac:dyDescent="0.3">
      <c r="A168">
        <v>15802242</v>
      </c>
      <c r="B168">
        <v>21609546</v>
      </c>
      <c r="C168" t="s">
        <v>15</v>
      </c>
      <c r="D168">
        <v>97.7</v>
      </c>
      <c r="E168" s="5">
        <f t="shared" si="11"/>
        <v>36.5</v>
      </c>
      <c r="F168">
        <v>122</v>
      </c>
      <c r="G168">
        <v>77</v>
      </c>
      <c r="H168">
        <v>70</v>
      </c>
      <c r="I168">
        <v>18</v>
      </c>
      <c r="J168">
        <v>98</v>
      </c>
      <c r="K168" t="b">
        <v>0</v>
      </c>
      <c r="L168" t="s">
        <v>16</v>
      </c>
      <c r="M168" t="s">
        <v>16</v>
      </c>
      <c r="N168">
        <f t="shared" si="12"/>
        <v>1</v>
      </c>
      <c r="O168">
        <f t="shared" si="13"/>
        <v>0</v>
      </c>
    </row>
    <row r="169" spans="1:15" x14ac:dyDescent="0.3">
      <c r="A169">
        <v>16378755</v>
      </c>
      <c r="B169">
        <v>21683806</v>
      </c>
      <c r="C169" t="s">
        <v>17</v>
      </c>
      <c r="D169">
        <v>95.7</v>
      </c>
      <c r="E169" s="5">
        <f t="shared" si="11"/>
        <v>35.4</v>
      </c>
      <c r="F169">
        <v>134</v>
      </c>
      <c r="G169">
        <v>62</v>
      </c>
      <c r="H169">
        <v>98</v>
      </c>
      <c r="I169">
        <v>22</v>
      </c>
      <c r="J169">
        <v>95</v>
      </c>
      <c r="K169" t="b">
        <v>0</v>
      </c>
      <c r="L169" t="s">
        <v>16</v>
      </c>
      <c r="M169" t="s">
        <v>16</v>
      </c>
      <c r="N169">
        <f t="shared" si="12"/>
        <v>2</v>
      </c>
      <c r="O169">
        <f t="shared" si="13"/>
        <v>5</v>
      </c>
    </row>
    <row r="170" spans="1:15" x14ac:dyDescent="0.3">
      <c r="A170">
        <v>12450853</v>
      </c>
      <c r="B170">
        <v>21712365</v>
      </c>
      <c r="C170" t="s">
        <v>15</v>
      </c>
      <c r="D170">
        <v>98.2</v>
      </c>
      <c r="E170" s="5">
        <f t="shared" si="11"/>
        <v>36.799999999999997</v>
      </c>
      <c r="F170">
        <v>155</v>
      </c>
      <c r="G170">
        <v>77</v>
      </c>
      <c r="H170">
        <v>90</v>
      </c>
      <c r="I170">
        <v>18</v>
      </c>
      <c r="J170">
        <v>96</v>
      </c>
      <c r="K170" t="b">
        <v>0</v>
      </c>
      <c r="L170" t="s">
        <v>16</v>
      </c>
      <c r="M170" t="s">
        <v>16</v>
      </c>
      <c r="N170">
        <f t="shared" si="12"/>
        <v>1</v>
      </c>
      <c r="O170">
        <f t="shared" si="13"/>
        <v>0</v>
      </c>
    </row>
    <row r="171" spans="1:15" x14ac:dyDescent="0.3">
      <c r="A171">
        <v>13523655</v>
      </c>
      <c r="B171">
        <v>21983182</v>
      </c>
      <c r="C171" t="s">
        <v>15</v>
      </c>
      <c r="D171">
        <v>98.5</v>
      </c>
      <c r="E171" s="5">
        <f t="shared" si="11"/>
        <v>36.9</v>
      </c>
      <c r="F171">
        <v>115</v>
      </c>
      <c r="G171">
        <v>72</v>
      </c>
      <c r="H171">
        <v>74</v>
      </c>
      <c r="I171">
        <v>18</v>
      </c>
      <c r="J171">
        <v>99</v>
      </c>
      <c r="K171" t="b">
        <v>0</v>
      </c>
      <c r="L171" t="s">
        <v>16</v>
      </c>
      <c r="M171" t="s">
        <v>16</v>
      </c>
      <c r="N171">
        <f t="shared" si="12"/>
        <v>1</v>
      </c>
      <c r="O171">
        <f t="shared" si="13"/>
        <v>0</v>
      </c>
    </row>
    <row r="172" spans="1:15" x14ac:dyDescent="0.3">
      <c r="A172">
        <v>11334897</v>
      </c>
      <c r="B172">
        <v>22246289</v>
      </c>
      <c r="C172" t="s">
        <v>15</v>
      </c>
      <c r="D172">
        <v>98.2</v>
      </c>
      <c r="E172" s="5">
        <f t="shared" si="11"/>
        <v>36.799999999999997</v>
      </c>
      <c r="F172">
        <v>126</v>
      </c>
      <c r="G172">
        <v>79</v>
      </c>
      <c r="H172">
        <v>87</v>
      </c>
      <c r="I172">
        <v>19</v>
      </c>
      <c r="J172">
        <v>96</v>
      </c>
      <c r="K172" t="b">
        <v>0</v>
      </c>
      <c r="L172" t="s">
        <v>16</v>
      </c>
      <c r="M172" t="s">
        <v>16</v>
      </c>
      <c r="N172">
        <f t="shared" si="12"/>
        <v>1</v>
      </c>
      <c r="O172">
        <f t="shared" si="13"/>
        <v>0</v>
      </c>
    </row>
    <row r="173" spans="1:15" x14ac:dyDescent="0.3">
      <c r="A173">
        <v>18549459</v>
      </c>
      <c r="B173">
        <v>22264870</v>
      </c>
      <c r="C173" t="s">
        <v>18</v>
      </c>
      <c r="D173" t="s">
        <v>23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b">
        <v>0</v>
      </c>
      <c r="L173" t="s">
        <v>16</v>
      </c>
      <c r="M173" t="s">
        <v>16</v>
      </c>
      <c r="N173" t="s">
        <v>23</v>
      </c>
      <c r="O173" t="s">
        <v>23</v>
      </c>
    </row>
    <row r="174" spans="1:15" x14ac:dyDescent="0.3">
      <c r="A174">
        <v>11868667</v>
      </c>
      <c r="B174">
        <v>22274722</v>
      </c>
      <c r="C174" t="s">
        <v>17</v>
      </c>
      <c r="D174">
        <v>98</v>
      </c>
      <c r="E174" s="5">
        <f t="shared" si="11"/>
        <v>36.700000000000003</v>
      </c>
      <c r="F174">
        <v>111</v>
      </c>
      <c r="G174">
        <v>38</v>
      </c>
      <c r="H174">
        <v>61</v>
      </c>
      <c r="I174" t="s">
        <v>23</v>
      </c>
      <c r="J174">
        <v>98</v>
      </c>
      <c r="K174" t="b">
        <v>0</v>
      </c>
      <c r="L174" t="s">
        <v>16</v>
      </c>
      <c r="M174" t="s">
        <v>16</v>
      </c>
      <c r="N174" t="s">
        <v>23</v>
      </c>
      <c r="O174" t="s">
        <v>23</v>
      </c>
    </row>
    <row r="175" spans="1:15" x14ac:dyDescent="0.3">
      <c r="A175">
        <v>19833978</v>
      </c>
      <c r="B175">
        <v>22368455</v>
      </c>
      <c r="C175" t="s">
        <v>15</v>
      </c>
      <c r="D175" t="s">
        <v>23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b">
        <v>0</v>
      </c>
      <c r="L175" t="s">
        <v>16</v>
      </c>
      <c r="M175" t="s">
        <v>16</v>
      </c>
      <c r="N175" t="s">
        <v>23</v>
      </c>
      <c r="O175" t="s">
        <v>23</v>
      </c>
    </row>
    <row r="176" spans="1:15" x14ac:dyDescent="0.3">
      <c r="A176">
        <v>10285455</v>
      </c>
      <c r="B176">
        <v>22472652</v>
      </c>
      <c r="C176" t="s">
        <v>15</v>
      </c>
      <c r="D176" t="s">
        <v>23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b">
        <v>0</v>
      </c>
      <c r="L176" t="s">
        <v>16</v>
      </c>
      <c r="M176" t="s">
        <v>16</v>
      </c>
      <c r="N176" t="s">
        <v>23</v>
      </c>
      <c r="O176" t="s">
        <v>23</v>
      </c>
    </row>
    <row r="177" spans="1:15" x14ac:dyDescent="0.3">
      <c r="A177">
        <v>17451713</v>
      </c>
      <c r="B177">
        <v>22951644</v>
      </c>
      <c r="C177" t="s">
        <v>17</v>
      </c>
      <c r="D177">
        <v>96.9</v>
      </c>
      <c r="E177" s="5">
        <f t="shared" si="11"/>
        <v>36.1</v>
      </c>
      <c r="F177">
        <v>130</v>
      </c>
      <c r="G177">
        <v>74</v>
      </c>
      <c r="H177">
        <v>88</v>
      </c>
      <c r="I177">
        <v>18</v>
      </c>
      <c r="J177">
        <v>100</v>
      </c>
      <c r="K177" t="b">
        <v>0</v>
      </c>
      <c r="L177" t="s">
        <v>16</v>
      </c>
      <c r="M177" t="s">
        <v>16</v>
      </c>
      <c r="N177">
        <f t="shared" si="12"/>
        <v>1</v>
      </c>
      <c r="O177">
        <f t="shared" si="13"/>
        <v>0</v>
      </c>
    </row>
    <row r="178" spans="1:15" x14ac:dyDescent="0.3">
      <c r="A178">
        <v>16271779</v>
      </c>
      <c r="B178">
        <v>22967596</v>
      </c>
      <c r="C178" t="s">
        <v>17</v>
      </c>
      <c r="D178">
        <v>98.7</v>
      </c>
      <c r="E178" s="5">
        <f t="shared" si="11"/>
        <v>37.1</v>
      </c>
      <c r="F178">
        <v>114</v>
      </c>
      <c r="G178">
        <v>76</v>
      </c>
      <c r="H178">
        <v>92</v>
      </c>
      <c r="I178">
        <v>18</v>
      </c>
      <c r="J178">
        <v>97</v>
      </c>
      <c r="K178" t="b">
        <v>0</v>
      </c>
      <c r="L178" t="s">
        <v>16</v>
      </c>
      <c r="M178" t="s">
        <v>16</v>
      </c>
      <c r="N178">
        <f t="shared" si="12"/>
        <v>1</v>
      </c>
      <c r="O178">
        <f t="shared" si="13"/>
        <v>1</v>
      </c>
    </row>
    <row r="179" spans="1:15" x14ac:dyDescent="0.3">
      <c r="A179">
        <v>17396346</v>
      </c>
      <c r="B179">
        <v>23124779</v>
      </c>
      <c r="C179" t="s">
        <v>17</v>
      </c>
      <c r="D179">
        <v>100.1</v>
      </c>
      <c r="E179" s="5">
        <f t="shared" si="11"/>
        <v>37.799999999999997</v>
      </c>
      <c r="F179">
        <v>132</v>
      </c>
      <c r="G179">
        <v>53</v>
      </c>
      <c r="H179">
        <v>89</v>
      </c>
      <c r="I179">
        <v>21</v>
      </c>
      <c r="J179">
        <v>94</v>
      </c>
      <c r="K179" t="b">
        <v>1</v>
      </c>
      <c r="L179" t="s">
        <v>16</v>
      </c>
      <c r="M179" t="s">
        <v>16</v>
      </c>
      <c r="N179">
        <f t="shared" si="12"/>
        <v>2</v>
      </c>
      <c r="O179">
        <f t="shared" si="13"/>
        <v>5</v>
      </c>
    </row>
    <row r="180" spans="1:15" x14ac:dyDescent="0.3">
      <c r="A180">
        <v>16154666</v>
      </c>
      <c r="B180">
        <v>23167950</v>
      </c>
      <c r="C180" t="s">
        <v>15</v>
      </c>
      <c r="D180">
        <v>97.8</v>
      </c>
      <c r="E180" s="5">
        <f t="shared" si="11"/>
        <v>36.6</v>
      </c>
      <c r="F180">
        <v>114</v>
      </c>
      <c r="G180">
        <v>68</v>
      </c>
      <c r="H180">
        <v>66</v>
      </c>
      <c r="I180">
        <v>24</v>
      </c>
      <c r="J180">
        <v>98</v>
      </c>
      <c r="K180" t="b">
        <v>1</v>
      </c>
      <c r="L180" t="s">
        <v>16</v>
      </c>
      <c r="M180" t="s">
        <v>16</v>
      </c>
      <c r="N180">
        <f t="shared" si="12"/>
        <v>2</v>
      </c>
      <c r="O180">
        <f t="shared" si="13"/>
        <v>4</v>
      </c>
    </row>
    <row r="181" spans="1:15" x14ac:dyDescent="0.3">
      <c r="A181">
        <v>15974128</v>
      </c>
      <c r="B181">
        <v>23330764</v>
      </c>
      <c r="C181" t="s">
        <v>15</v>
      </c>
      <c r="D181">
        <v>98.3</v>
      </c>
      <c r="E181" s="5">
        <f t="shared" si="11"/>
        <v>36.799999999999997</v>
      </c>
      <c r="F181">
        <v>102</v>
      </c>
      <c r="G181">
        <v>49</v>
      </c>
      <c r="H181">
        <v>93</v>
      </c>
      <c r="I181">
        <v>20</v>
      </c>
      <c r="J181">
        <v>95</v>
      </c>
      <c r="K181" t="b">
        <v>1</v>
      </c>
      <c r="L181" t="s">
        <v>16</v>
      </c>
      <c r="M181" t="s">
        <v>16</v>
      </c>
      <c r="N181">
        <f t="shared" si="12"/>
        <v>1</v>
      </c>
      <c r="O181">
        <f t="shared" si="13"/>
        <v>5</v>
      </c>
    </row>
    <row r="182" spans="1:15" x14ac:dyDescent="0.3">
      <c r="A182">
        <v>17173451</v>
      </c>
      <c r="B182">
        <v>23428803</v>
      </c>
      <c r="C182" t="s">
        <v>17</v>
      </c>
      <c r="D182" t="s">
        <v>23</v>
      </c>
      <c r="E182" s="5" t="e">
        <f t="shared" si="11"/>
        <v>#VALUE!</v>
      </c>
      <c r="F182">
        <v>192</v>
      </c>
      <c r="G182">
        <v>98</v>
      </c>
      <c r="H182">
        <v>86</v>
      </c>
      <c r="I182">
        <v>16</v>
      </c>
      <c r="J182">
        <v>98</v>
      </c>
      <c r="K182" t="b">
        <v>0</v>
      </c>
      <c r="L182" t="s">
        <v>16</v>
      </c>
      <c r="M182" t="s">
        <v>16</v>
      </c>
      <c r="N182" t="s">
        <v>23</v>
      </c>
      <c r="O182" t="s">
        <v>23</v>
      </c>
    </row>
    <row r="183" spans="1:15" x14ac:dyDescent="0.3">
      <c r="A183">
        <v>15929369</v>
      </c>
      <c r="B183">
        <v>23498272</v>
      </c>
      <c r="C183" t="s">
        <v>18</v>
      </c>
      <c r="D183">
        <v>98.4</v>
      </c>
      <c r="E183" s="5">
        <f t="shared" si="11"/>
        <v>36.9</v>
      </c>
      <c r="F183">
        <v>90</v>
      </c>
      <c r="G183">
        <v>71</v>
      </c>
      <c r="H183">
        <v>114</v>
      </c>
      <c r="I183" t="s">
        <v>23</v>
      </c>
      <c r="J183">
        <v>100</v>
      </c>
      <c r="K183" t="b">
        <v>0</v>
      </c>
      <c r="L183" t="s">
        <v>16</v>
      </c>
      <c r="M183" t="s">
        <v>16</v>
      </c>
      <c r="N183" t="s">
        <v>23</v>
      </c>
      <c r="O183" t="s">
        <v>23</v>
      </c>
    </row>
    <row r="184" spans="1:15" x14ac:dyDescent="0.3">
      <c r="A184">
        <v>10141505</v>
      </c>
      <c r="B184">
        <v>23498379</v>
      </c>
      <c r="C184" t="s">
        <v>15</v>
      </c>
      <c r="D184">
        <v>97.5</v>
      </c>
      <c r="E184" s="5">
        <f t="shared" si="11"/>
        <v>36.4</v>
      </c>
      <c r="F184">
        <v>150</v>
      </c>
      <c r="G184">
        <v>70</v>
      </c>
      <c r="H184">
        <v>54</v>
      </c>
      <c r="I184">
        <v>18</v>
      </c>
      <c r="J184">
        <v>99</v>
      </c>
      <c r="K184" t="b">
        <v>0</v>
      </c>
      <c r="L184" t="s">
        <v>16</v>
      </c>
      <c r="M184" t="s">
        <v>16</v>
      </c>
      <c r="N184">
        <f t="shared" si="12"/>
        <v>1</v>
      </c>
      <c r="O184">
        <f t="shared" si="13"/>
        <v>0</v>
      </c>
    </row>
    <row r="185" spans="1:15" x14ac:dyDescent="0.3">
      <c r="A185">
        <v>18088163</v>
      </c>
      <c r="B185">
        <v>23597911</v>
      </c>
      <c r="C185" t="s">
        <v>15</v>
      </c>
      <c r="D185" t="s">
        <v>23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b">
        <v>0</v>
      </c>
      <c r="L185" t="s">
        <v>16</v>
      </c>
      <c r="M185" t="s">
        <v>16</v>
      </c>
      <c r="N185" t="s">
        <v>23</v>
      </c>
      <c r="O185" t="s">
        <v>23</v>
      </c>
    </row>
    <row r="186" spans="1:15" x14ac:dyDescent="0.3">
      <c r="A186">
        <v>17158007</v>
      </c>
      <c r="B186">
        <v>23936243</v>
      </c>
      <c r="C186" t="s">
        <v>15</v>
      </c>
      <c r="D186">
        <v>97.5</v>
      </c>
      <c r="E186" s="5">
        <f t="shared" si="11"/>
        <v>36.4</v>
      </c>
      <c r="F186">
        <v>111</v>
      </c>
      <c r="G186">
        <v>80</v>
      </c>
      <c r="H186">
        <v>96</v>
      </c>
      <c r="I186">
        <v>18</v>
      </c>
      <c r="J186">
        <v>97</v>
      </c>
      <c r="K186" t="b">
        <v>0</v>
      </c>
      <c r="L186" t="s">
        <v>16</v>
      </c>
      <c r="M186" t="s">
        <v>16</v>
      </c>
      <c r="N186">
        <f t="shared" si="12"/>
        <v>1</v>
      </c>
      <c r="O186">
        <f t="shared" si="13"/>
        <v>1</v>
      </c>
    </row>
    <row r="187" spans="1:15" x14ac:dyDescent="0.3">
      <c r="A187">
        <v>18427137</v>
      </c>
      <c r="B187">
        <v>24255830</v>
      </c>
      <c r="C187" t="s">
        <v>15</v>
      </c>
      <c r="D187">
        <v>98.6</v>
      </c>
      <c r="E187" s="5">
        <f t="shared" si="11"/>
        <v>37</v>
      </c>
      <c r="F187">
        <v>155</v>
      </c>
      <c r="G187">
        <v>94</v>
      </c>
      <c r="H187">
        <v>73</v>
      </c>
      <c r="I187">
        <v>18</v>
      </c>
      <c r="J187">
        <v>95</v>
      </c>
      <c r="K187" t="b">
        <v>0</v>
      </c>
      <c r="L187" t="s">
        <v>16</v>
      </c>
      <c r="M187" t="s">
        <v>16</v>
      </c>
      <c r="N187">
        <f t="shared" si="12"/>
        <v>1</v>
      </c>
      <c r="O187">
        <f t="shared" si="13"/>
        <v>1</v>
      </c>
    </row>
    <row r="188" spans="1:15" x14ac:dyDescent="0.3">
      <c r="A188">
        <v>16543672</v>
      </c>
      <c r="B188">
        <v>24273456</v>
      </c>
      <c r="C188" t="s">
        <v>18</v>
      </c>
      <c r="D188" t="s">
        <v>23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b">
        <v>0</v>
      </c>
      <c r="L188" t="s">
        <v>22</v>
      </c>
      <c r="M188" t="s">
        <v>22</v>
      </c>
      <c r="N188" t="s">
        <v>23</v>
      </c>
      <c r="O188" t="s">
        <v>23</v>
      </c>
    </row>
    <row r="189" spans="1:15" x14ac:dyDescent="0.3">
      <c r="A189">
        <v>12426442</v>
      </c>
      <c r="B189">
        <v>24365063</v>
      </c>
      <c r="C189" t="s">
        <v>17</v>
      </c>
      <c r="D189">
        <v>97.9</v>
      </c>
      <c r="E189" s="5">
        <f t="shared" si="11"/>
        <v>36.6</v>
      </c>
      <c r="F189">
        <v>139</v>
      </c>
      <c r="G189">
        <v>64</v>
      </c>
      <c r="H189">
        <v>76</v>
      </c>
      <c r="I189">
        <v>16</v>
      </c>
      <c r="J189">
        <v>100</v>
      </c>
      <c r="K189" t="b">
        <v>0</v>
      </c>
      <c r="L189" t="s">
        <v>16</v>
      </c>
      <c r="M189" t="s">
        <v>16</v>
      </c>
      <c r="N189">
        <f t="shared" si="12"/>
        <v>1</v>
      </c>
      <c r="O189">
        <f t="shared" si="13"/>
        <v>0</v>
      </c>
    </row>
    <row r="190" spans="1:15" x14ac:dyDescent="0.3">
      <c r="A190">
        <v>10872930</v>
      </c>
      <c r="B190">
        <v>24406981</v>
      </c>
      <c r="C190" t="s">
        <v>17</v>
      </c>
      <c r="D190">
        <v>97.5</v>
      </c>
      <c r="E190" s="5">
        <f t="shared" si="11"/>
        <v>36.4</v>
      </c>
      <c r="F190">
        <v>104</v>
      </c>
      <c r="G190">
        <v>42</v>
      </c>
      <c r="H190">
        <v>79</v>
      </c>
      <c r="I190">
        <v>18</v>
      </c>
      <c r="J190">
        <v>98</v>
      </c>
      <c r="K190" t="b">
        <v>0</v>
      </c>
      <c r="L190" t="s">
        <v>16</v>
      </c>
      <c r="M190" t="s">
        <v>16</v>
      </c>
      <c r="N190">
        <f t="shared" si="12"/>
        <v>1</v>
      </c>
      <c r="O190">
        <f t="shared" si="13"/>
        <v>1</v>
      </c>
    </row>
    <row r="191" spans="1:15" x14ac:dyDescent="0.3">
      <c r="A191">
        <v>12789108</v>
      </c>
      <c r="B191">
        <v>24809449</v>
      </c>
      <c r="C191" t="s">
        <v>17</v>
      </c>
      <c r="D191">
        <v>99.4</v>
      </c>
      <c r="E191" s="5">
        <f t="shared" si="11"/>
        <v>37.4</v>
      </c>
      <c r="F191">
        <v>117</v>
      </c>
      <c r="G191">
        <v>81</v>
      </c>
      <c r="H191">
        <v>76</v>
      </c>
      <c r="I191">
        <v>20</v>
      </c>
      <c r="J191">
        <v>100</v>
      </c>
      <c r="K191" t="b">
        <v>0</v>
      </c>
      <c r="L191" t="s">
        <v>16</v>
      </c>
      <c r="M191" t="s">
        <v>16</v>
      </c>
      <c r="N191">
        <f t="shared" si="12"/>
        <v>1</v>
      </c>
      <c r="O191">
        <f t="shared" si="13"/>
        <v>0</v>
      </c>
    </row>
    <row r="192" spans="1:15" x14ac:dyDescent="0.3">
      <c r="A192">
        <v>17411142</v>
      </c>
      <c r="B192">
        <v>25129204</v>
      </c>
      <c r="C192" t="s">
        <v>18</v>
      </c>
      <c r="D192">
        <v>96.6</v>
      </c>
      <c r="E192" s="5">
        <f t="shared" si="11"/>
        <v>35.9</v>
      </c>
      <c r="F192">
        <v>153</v>
      </c>
      <c r="G192">
        <v>85</v>
      </c>
      <c r="H192">
        <v>82</v>
      </c>
      <c r="I192">
        <v>16</v>
      </c>
      <c r="J192">
        <v>99</v>
      </c>
      <c r="K192" t="b">
        <v>0</v>
      </c>
      <c r="L192" t="s">
        <v>16</v>
      </c>
      <c r="M192" t="s">
        <v>16</v>
      </c>
      <c r="N192">
        <f t="shared" si="12"/>
        <v>1</v>
      </c>
      <c r="O192">
        <f t="shared" si="13"/>
        <v>1</v>
      </c>
    </row>
    <row r="193" spans="1:15" x14ac:dyDescent="0.3">
      <c r="A193">
        <v>11729221</v>
      </c>
      <c r="B193">
        <v>25294498</v>
      </c>
      <c r="C193" t="s">
        <v>15</v>
      </c>
      <c r="D193">
        <v>97.5</v>
      </c>
      <c r="E193" s="5">
        <f t="shared" si="11"/>
        <v>36.4</v>
      </c>
      <c r="F193">
        <v>174</v>
      </c>
      <c r="G193">
        <v>74</v>
      </c>
      <c r="H193">
        <v>63</v>
      </c>
      <c r="I193">
        <v>16</v>
      </c>
      <c r="J193">
        <v>97</v>
      </c>
      <c r="K193" t="b">
        <v>0</v>
      </c>
      <c r="L193" t="s">
        <v>16</v>
      </c>
      <c r="M193" t="s">
        <v>16</v>
      </c>
      <c r="N193">
        <f t="shared" si="12"/>
        <v>1</v>
      </c>
      <c r="O193">
        <f t="shared" si="13"/>
        <v>0</v>
      </c>
    </row>
    <row r="194" spans="1:15" x14ac:dyDescent="0.3">
      <c r="A194">
        <v>11459267</v>
      </c>
      <c r="B194">
        <v>25310929</v>
      </c>
      <c r="C194" t="s">
        <v>15</v>
      </c>
      <c r="D194">
        <v>99.1</v>
      </c>
      <c r="E194" s="5">
        <f t="shared" si="11"/>
        <v>37.299999999999997</v>
      </c>
      <c r="F194">
        <v>109</v>
      </c>
      <c r="G194">
        <v>49</v>
      </c>
      <c r="H194">
        <v>78</v>
      </c>
      <c r="I194">
        <v>16</v>
      </c>
      <c r="J194">
        <v>100</v>
      </c>
      <c r="K194" t="b">
        <v>0</v>
      </c>
      <c r="L194" t="s">
        <v>16</v>
      </c>
      <c r="M194" t="s">
        <v>16</v>
      </c>
      <c r="N194">
        <f t="shared" si="12"/>
        <v>1</v>
      </c>
      <c r="O194">
        <f t="shared" si="13"/>
        <v>1</v>
      </c>
    </row>
    <row r="195" spans="1:15" x14ac:dyDescent="0.3">
      <c r="A195">
        <v>18160217</v>
      </c>
      <c r="B195">
        <v>25436978</v>
      </c>
      <c r="C195" t="s">
        <v>17</v>
      </c>
      <c r="D195">
        <v>98</v>
      </c>
      <c r="E195" s="5">
        <f t="shared" si="11"/>
        <v>36.700000000000003</v>
      </c>
      <c r="F195">
        <v>122</v>
      </c>
      <c r="G195">
        <v>63</v>
      </c>
      <c r="H195">
        <v>80</v>
      </c>
      <c r="I195">
        <v>16</v>
      </c>
      <c r="J195">
        <v>100</v>
      </c>
      <c r="K195" t="b">
        <v>0</v>
      </c>
      <c r="L195" t="s">
        <v>16</v>
      </c>
      <c r="M195" t="s">
        <v>16</v>
      </c>
      <c r="N195">
        <f t="shared" si="12"/>
        <v>1</v>
      </c>
      <c r="O195">
        <f t="shared" si="13"/>
        <v>0</v>
      </c>
    </row>
    <row r="196" spans="1:15" x14ac:dyDescent="0.3">
      <c r="A196">
        <v>15778426</v>
      </c>
      <c r="B196">
        <v>25546217</v>
      </c>
      <c r="C196" t="s">
        <v>17</v>
      </c>
      <c r="D196">
        <v>101</v>
      </c>
      <c r="E196" s="5">
        <f t="shared" si="11"/>
        <v>38.299999999999997</v>
      </c>
      <c r="F196">
        <v>145</v>
      </c>
      <c r="G196">
        <v>66</v>
      </c>
      <c r="H196">
        <v>81</v>
      </c>
      <c r="I196">
        <v>18</v>
      </c>
      <c r="J196">
        <v>94</v>
      </c>
      <c r="K196" t="b">
        <v>1</v>
      </c>
      <c r="L196" t="s">
        <v>16</v>
      </c>
      <c r="M196" t="s">
        <v>16</v>
      </c>
      <c r="N196">
        <f t="shared" si="12"/>
        <v>1</v>
      </c>
      <c r="O196">
        <f t="shared" si="13"/>
        <v>4</v>
      </c>
    </row>
    <row r="197" spans="1:15" x14ac:dyDescent="0.3">
      <c r="A197">
        <v>14695267</v>
      </c>
      <c r="B197">
        <v>25560683</v>
      </c>
      <c r="C197" t="s">
        <v>15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b">
        <v>0</v>
      </c>
      <c r="L197" t="s">
        <v>16</v>
      </c>
      <c r="M197" t="s">
        <v>16</v>
      </c>
      <c r="N197" t="s">
        <v>23</v>
      </c>
      <c r="O197" t="s">
        <v>23</v>
      </c>
    </row>
    <row r="198" spans="1:15" x14ac:dyDescent="0.3">
      <c r="A198">
        <v>10194776</v>
      </c>
      <c r="B198">
        <v>25682890</v>
      </c>
      <c r="C198" t="s">
        <v>15</v>
      </c>
      <c r="D198">
        <v>98.8</v>
      </c>
      <c r="E198" s="5">
        <f t="shared" si="11"/>
        <v>37.1</v>
      </c>
      <c r="F198">
        <v>151</v>
      </c>
      <c r="G198">
        <v>63</v>
      </c>
      <c r="H198">
        <v>87</v>
      </c>
      <c r="I198">
        <v>13</v>
      </c>
      <c r="J198">
        <v>100</v>
      </c>
      <c r="K198" t="b">
        <v>0</v>
      </c>
      <c r="L198" t="s">
        <v>16</v>
      </c>
      <c r="M198" t="s">
        <v>16</v>
      </c>
      <c r="N198">
        <f t="shared" si="12"/>
        <v>0</v>
      </c>
      <c r="O198">
        <f t="shared" si="13"/>
        <v>0</v>
      </c>
    </row>
    <row r="199" spans="1:15" x14ac:dyDescent="0.3">
      <c r="A199">
        <v>15241318</v>
      </c>
      <c r="B199">
        <v>25704973</v>
      </c>
      <c r="C199" t="s">
        <v>17</v>
      </c>
      <c r="D199">
        <v>98.9</v>
      </c>
      <c r="E199" s="5">
        <f t="shared" si="11"/>
        <v>37.200000000000003</v>
      </c>
      <c r="F199">
        <v>109</v>
      </c>
      <c r="G199">
        <v>67</v>
      </c>
      <c r="H199">
        <v>83</v>
      </c>
      <c r="I199">
        <v>19</v>
      </c>
      <c r="J199">
        <v>99</v>
      </c>
      <c r="K199" t="b">
        <v>0</v>
      </c>
      <c r="L199" t="s">
        <v>16</v>
      </c>
      <c r="M199" t="s">
        <v>16</v>
      </c>
      <c r="N199">
        <f t="shared" si="12"/>
        <v>1</v>
      </c>
      <c r="O199">
        <f t="shared" si="13"/>
        <v>1</v>
      </c>
    </row>
    <row r="200" spans="1:15" x14ac:dyDescent="0.3">
      <c r="A200">
        <v>17910893</v>
      </c>
      <c r="B200">
        <v>25752929</v>
      </c>
      <c r="C200" t="s">
        <v>17</v>
      </c>
      <c r="D200">
        <v>98.4</v>
      </c>
      <c r="E200" s="5">
        <f t="shared" si="11"/>
        <v>36.9</v>
      </c>
      <c r="F200">
        <v>128</v>
      </c>
      <c r="G200">
        <v>81</v>
      </c>
      <c r="H200">
        <v>111</v>
      </c>
      <c r="I200">
        <v>18</v>
      </c>
      <c r="J200">
        <v>100</v>
      </c>
      <c r="K200" t="b">
        <v>0</v>
      </c>
      <c r="L200" t="s">
        <v>16</v>
      </c>
      <c r="M200" t="s">
        <v>16</v>
      </c>
      <c r="N200">
        <f t="shared" si="12"/>
        <v>3</v>
      </c>
      <c r="O200">
        <f t="shared" si="13"/>
        <v>2</v>
      </c>
    </row>
    <row r="201" spans="1:15" x14ac:dyDescent="0.3">
      <c r="A201">
        <v>14329697</v>
      </c>
      <c r="B201">
        <v>25850355</v>
      </c>
      <c r="C201" t="s">
        <v>15</v>
      </c>
      <c r="D201">
        <v>97.5</v>
      </c>
      <c r="E201" s="5">
        <f t="shared" si="11"/>
        <v>36.4</v>
      </c>
      <c r="F201">
        <v>160</v>
      </c>
      <c r="G201">
        <v>85</v>
      </c>
      <c r="H201">
        <v>67</v>
      </c>
      <c r="I201">
        <v>18</v>
      </c>
      <c r="J201">
        <v>95</v>
      </c>
      <c r="K201" t="b">
        <v>0</v>
      </c>
      <c r="L201" t="s">
        <v>16</v>
      </c>
      <c r="M201" t="s">
        <v>16</v>
      </c>
      <c r="N201">
        <f t="shared" si="12"/>
        <v>1</v>
      </c>
      <c r="O201">
        <f t="shared" si="13"/>
        <v>1</v>
      </c>
    </row>
    <row r="202" spans="1:15" x14ac:dyDescent="0.3">
      <c r="A202">
        <v>14063236</v>
      </c>
      <c r="B202">
        <v>25910280</v>
      </c>
      <c r="C202" t="s">
        <v>18</v>
      </c>
      <c r="D202" t="s">
        <v>23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b">
        <v>0</v>
      </c>
      <c r="L202" t="s">
        <v>16</v>
      </c>
      <c r="M202" t="s">
        <v>16</v>
      </c>
      <c r="N202" t="s">
        <v>23</v>
      </c>
      <c r="O202" t="s">
        <v>23</v>
      </c>
    </row>
    <row r="203" spans="1:15" x14ac:dyDescent="0.3">
      <c r="A203">
        <v>15291456</v>
      </c>
      <c r="B203">
        <v>26017968</v>
      </c>
      <c r="C203" t="s">
        <v>15</v>
      </c>
      <c r="D203">
        <v>98.5</v>
      </c>
      <c r="E203" s="5">
        <f t="shared" si="11"/>
        <v>36.9</v>
      </c>
      <c r="F203">
        <v>140</v>
      </c>
      <c r="G203">
        <v>76</v>
      </c>
      <c r="H203">
        <v>60</v>
      </c>
      <c r="I203">
        <v>18</v>
      </c>
      <c r="J203">
        <v>99</v>
      </c>
      <c r="K203" t="b">
        <v>0</v>
      </c>
      <c r="L203" t="s">
        <v>16</v>
      </c>
      <c r="M203" t="s">
        <v>16</v>
      </c>
      <c r="N203">
        <f t="shared" si="12"/>
        <v>1</v>
      </c>
      <c r="O203">
        <f t="shared" si="13"/>
        <v>0</v>
      </c>
    </row>
    <row r="204" spans="1:15" x14ac:dyDescent="0.3">
      <c r="A204">
        <v>11724488</v>
      </c>
      <c r="B204">
        <v>26176326</v>
      </c>
      <c r="C204" t="s">
        <v>18</v>
      </c>
      <c r="D204">
        <v>98.8</v>
      </c>
      <c r="E204" s="5">
        <f t="shared" si="11"/>
        <v>37.1</v>
      </c>
      <c r="F204">
        <v>183</v>
      </c>
      <c r="G204">
        <v>93</v>
      </c>
      <c r="H204">
        <v>65</v>
      </c>
      <c r="I204">
        <v>18</v>
      </c>
      <c r="J204">
        <v>97</v>
      </c>
      <c r="K204" t="b">
        <v>0</v>
      </c>
      <c r="L204" t="s">
        <v>16</v>
      </c>
      <c r="M204" t="s">
        <v>16</v>
      </c>
      <c r="N204">
        <f t="shared" si="12"/>
        <v>1</v>
      </c>
      <c r="O204">
        <f t="shared" si="13"/>
        <v>0</v>
      </c>
    </row>
    <row r="205" spans="1:15" x14ac:dyDescent="0.3">
      <c r="A205">
        <v>19373075</v>
      </c>
      <c r="B205">
        <v>26192816</v>
      </c>
      <c r="C205" t="s">
        <v>15</v>
      </c>
      <c r="D205">
        <v>98.5</v>
      </c>
      <c r="E205" s="5">
        <f t="shared" si="11"/>
        <v>36.9</v>
      </c>
      <c r="F205">
        <v>156</v>
      </c>
      <c r="G205">
        <v>90</v>
      </c>
      <c r="H205">
        <v>60</v>
      </c>
      <c r="I205">
        <v>16</v>
      </c>
      <c r="J205">
        <v>100</v>
      </c>
      <c r="K205" t="b">
        <v>0</v>
      </c>
      <c r="L205" t="s">
        <v>16</v>
      </c>
      <c r="M205" t="s">
        <v>16</v>
      </c>
      <c r="N205">
        <f t="shared" si="12"/>
        <v>1</v>
      </c>
      <c r="O205">
        <f t="shared" si="13"/>
        <v>0</v>
      </c>
    </row>
    <row r="206" spans="1:15" x14ac:dyDescent="0.3">
      <c r="A206">
        <v>15406838</v>
      </c>
      <c r="B206">
        <v>26220916</v>
      </c>
      <c r="C206" t="s">
        <v>15</v>
      </c>
      <c r="D206">
        <v>98.8</v>
      </c>
      <c r="E206" s="5">
        <f t="shared" si="11"/>
        <v>37.1</v>
      </c>
      <c r="F206">
        <v>120</v>
      </c>
      <c r="G206">
        <v>66</v>
      </c>
      <c r="H206">
        <v>70</v>
      </c>
      <c r="I206">
        <v>16</v>
      </c>
      <c r="J206">
        <v>97</v>
      </c>
      <c r="K206" t="b">
        <v>0</v>
      </c>
      <c r="L206" t="s">
        <v>16</v>
      </c>
      <c r="M206" t="s">
        <v>16</v>
      </c>
      <c r="N206">
        <f t="shared" si="12"/>
        <v>1</v>
      </c>
      <c r="O206">
        <f t="shared" si="13"/>
        <v>0</v>
      </c>
    </row>
    <row r="207" spans="1:15" x14ac:dyDescent="0.3">
      <c r="A207">
        <v>15591198</v>
      </c>
      <c r="B207">
        <v>26307519</v>
      </c>
      <c r="C207" t="s">
        <v>18</v>
      </c>
      <c r="D207" t="s">
        <v>23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b">
        <v>0</v>
      </c>
      <c r="L207" t="s">
        <v>16</v>
      </c>
      <c r="M207" t="s">
        <v>16</v>
      </c>
      <c r="N207" t="s">
        <v>23</v>
      </c>
      <c r="O207" t="s">
        <v>23</v>
      </c>
    </row>
    <row r="208" spans="1:15" x14ac:dyDescent="0.3">
      <c r="A208">
        <v>10504887</v>
      </c>
      <c r="B208">
        <v>26475849</v>
      </c>
      <c r="C208" t="s">
        <v>18</v>
      </c>
      <c r="D208">
        <v>97.7</v>
      </c>
      <c r="E208" s="5">
        <f t="shared" si="11"/>
        <v>36.5</v>
      </c>
      <c r="F208">
        <v>160</v>
      </c>
      <c r="G208">
        <v>60</v>
      </c>
      <c r="H208">
        <v>67</v>
      </c>
      <c r="I208">
        <v>18</v>
      </c>
      <c r="J208">
        <v>94</v>
      </c>
      <c r="K208" t="b">
        <v>0</v>
      </c>
      <c r="L208" t="s">
        <v>16</v>
      </c>
      <c r="M208" t="s">
        <v>16</v>
      </c>
      <c r="N208">
        <f t="shared" si="12"/>
        <v>1</v>
      </c>
      <c r="O208">
        <f t="shared" si="13"/>
        <v>1</v>
      </c>
    </row>
    <row r="209" spans="1:15" x14ac:dyDescent="0.3">
      <c r="A209">
        <v>16166469</v>
      </c>
      <c r="B209">
        <v>26727011</v>
      </c>
      <c r="C209" t="s">
        <v>15</v>
      </c>
      <c r="D209" t="s">
        <v>23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b">
        <v>0</v>
      </c>
      <c r="L209" t="s">
        <v>16</v>
      </c>
      <c r="M209" t="s">
        <v>16</v>
      </c>
      <c r="N209" t="s">
        <v>23</v>
      </c>
      <c r="O209" t="s">
        <v>23</v>
      </c>
    </row>
    <row r="210" spans="1:15" x14ac:dyDescent="0.3">
      <c r="A210">
        <v>12716253</v>
      </c>
      <c r="B210">
        <v>26793652</v>
      </c>
      <c r="C210" t="s">
        <v>15</v>
      </c>
      <c r="D210" t="s">
        <v>23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b">
        <v>0</v>
      </c>
      <c r="L210" t="s">
        <v>16</v>
      </c>
      <c r="M210" t="s">
        <v>16</v>
      </c>
      <c r="N210" t="s">
        <v>23</v>
      </c>
      <c r="O210" t="s">
        <v>23</v>
      </c>
    </row>
    <row r="211" spans="1:15" x14ac:dyDescent="0.3">
      <c r="A211">
        <v>18699523</v>
      </c>
      <c r="B211">
        <v>26875738</v>
      </c>
      <c r="C211" t="s">
        <v>17</v>
      </c>
      <c r="D211">
        <v>98.6</v>
      </c>
      <c r="E211" s="5">
        <f t="shared" si="11"/>
        <v>37</v>
      </c>
      <c r="F211">
        <v>105</v>
      </c>
      <c r="G211">
        <v>69</v>
      </c>
      <c r="H211">
        <v>100</v>
      </c>
      <c r="I211">
        <v>18</v>
      </c>
      <c r="J211">
        <v>99</v>
      </c>
      <c r="K211" t="b">
        <v>0</v>
      </c>
      <c r="L211" t="s">
        <v>16</v>
      </c>
      <c r="M211" t="s">
        <v>16</v>
      </c>
      <c r="N211">
        <f t="shared" si="12"/>
        <v>1</v>
      </c>
      <c r="O211">
        <f t="shared" si="13"/>
        <v>2</v>
      </c>
    </row>
    <row r="212" spans="1:15" x14ac:dyDescent="0.3">
      <c r="A212">
        <v>17466330</v>
      </c>
      <c r="B212">
        <v>27023241</v>
      </c>
      <c r="C212" t="s">
        <v>18</v>
      </c>
      <c r="D212">
        <v>97.8</v>
      </c>
      <c r="E212" s="5">
        <f t="shared" si="11"/>
        <v>36.6</v>
      </c>
      <c r="F212">
        <v>129</v>
      </c>
      <c r="G212">
        <v>79</v>
      </c>
      <c r="H212">
        <v>87</v>
      </c>
      <c r="I212">
        <v>18</v>
      </c>
      <c r="J212">
        <v>99</v>
      </c>
      <c r="K212" t="b">
        <v>0</v>
      </c>
      <c r="L212" t="s">
        <v>16</v>
      </c>
      <c r="M212" t="s">
        <v>16</v>
      </c>
      <c r="N212">
        <f t="shared" si="12"/>
        <v>1</v>
      </c>
      <c r="O212">
        <f t="shared" si="13"/>
        <v>0</v>
      </c>
    </row>
    <row r="213" spans="1:15" x14ac:dyDescent="0.3">
      <c r="A213">
        <v>11869721</v>
      </c>
      <c r="B213">
        <v>27127472</v>
      </c>
      <c r="C213" t="s">
        <v>18</v>
      </c>
      <c r="D213">
        <v>98.2</v>
      </c>
      <c r="E213" s="5">
        <f t="shared" si="11"/>
        <v>36.799999999999997</v>
      </c>
      <c r="F213">
        <v>120</v>
      </c>
      <c r="G213">
        <v>59</v>
      </c>
      <c r="H213">
        <v>88</v>
      </c>
      <c r="I213">
        <v>18</v>
      </c>
      <c r="J213">
        <v>96</v>
      </c>
      <c r="K213" t="b">
        <v>0</v>
      </c>
      <c r="L213" t="s">
        <v>16</v>
      </c>
      <c r="M213" t="s">
        <v>16</v>
      </c>
      <c r="N213">
        <f t="shared" si="12"/>
        <v>1</v>
      </c>
      <c r="O213">
        <f t="shared" si="13"/>
        <v>0</v>
      </c>
    </row>
    <row r="214" spans="1:15" x14ac:dyDescent="0.3">
      <c r="A214">
        <v>19997367</v>
      </c>
      <c r="B214">
        <v>27185507</v>
      </c>
      <c r="C214" t="s">
        <v>15</v>
      </c>
      <c r="D214">
        <v>97.6</v>
      </c>
      <c r="E214" s="5">
        <f t="shared" si="11"/>
        <v>36.4</v>
      </c>
      <c r="F214">
        <v>105</v>
      </c>
      <c r="G214">
        <v>53</v>
      </c>
      <c r="H214">
        <v>90</v>
      </c>
      <c r="I214">
        <v>19</v>
      </c>
      <c r="J214">
        <v>99</v>
      </c>
      <c r="K214" t="b">
        <v>0</v>
      </c>
      <c r="L214" t="s">
        <v>16</v>
      </c>
      <c r="M214" t="s">
        <v>16</v>
      </c>
      <c r="N214">
        <f t="shared" si="12"/>
        <v>1</v>
      </c>
      <c r="O214">
        <f t="shared" si="13"/>
        <v>1</v>
      </c>
    </row>
    <row r="215" spans="1:15" x14ac:dyDescent="0.3">
      <c r="A215">
        <v>14522445</v>
      </c>
      <c r="B215">
        <v>27299730</v>
      </c>
      <c r="C215" t="s">
        <v>18</v>
      </c>
      <c r="D215">
        <v>97.7</v>
      </c>
      <c r="E215" s="5">
        <f t="shared" si="11"/>
        <v>36.5</v>
      </c>
      <c r="F215">
        <v>149</v>
      </c>
      <c r="G215">
        <v>81</v>
      </c>
      <c r="H215">
        <v>65</v>
      </c>
      <c r="I215">
        <v>18</v>
      </c>
      <c r="J215">
        <v>95</v>
      </c>
      <c r="K215" t="b">
        <v>0</v>
      </c>
      <c r="L215" t="s">
        <v>16</v>
      </c>
      <c r="M215" t="s">
        <v>16</v>
      </c>
      <c r="N215">
        <f t="shared" si="12"/>
        <v>1</v>
      </c>
      <c r="O215">
        <f t="shared" si="13"/>
        <v>1</v>
      </c>
    </row>
    <row r="216" spans="1:15" x14ac:dyDescent="0.3">
      <c r="A216">
        <v>14928745</v>
      </c>
      <c r="B216">
        <v>27332967</v>
      </c>
      <c r="C216" t="s">
        <v>15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b">
        <v>0</v>
      </c>
      <c r="L216" t="s">
        <v>16</v>
      </c>
      <c r="M216" t="s">
        <v>16</v>
      </c>
      <c r="N216" t="s">
        <v>23</v>
      </c>
      <c r="O216" t="s">
        <v>23</v>
      </c>
    </row>
    <row r="217" spans="1:15" x14ac:dyDescent="0.3">
      <c r="A217">
        <v>11181460</v>
      </c>
      <c r="B217">
        <v>27455163</v>
      </c>
      <c r="C217" t="s">
        <v>15</v>
      </c>
      <c r="D217">
        <v>101.6</v>
      </c>
      <c r="E217" s="5">
        <f t="shared" si="11"/>
        <v>38.700000000000003</v>
      </c>
      <c r="F217">
        <v>188</v>
      </c>
      <c r="G217">
        <v>62</v>
      </c>
      <c r="H217">
        <v>80</v>
      </c>
      <c r="I217">
        <v>27</v>
      </c>
      <c r="J217">
        <v>100</v>
      </c>
      <c r="K217" t="b">
        <v>1</v>
      </c>
      <c r="L217" t="s">
        <v>16</v>
      </c>
      <c r="M217" t="s">
        <v>16</v>
      </c>
      <c r="N217">
        <f t="shared" si="12"/>
        <v>4</v>
      </c>
      <c r="O217">
        <f t="shared" si="13"/>
        <v>6</v>
      </c>
    </row>
    <row r="218" spans="1:15" x14ac:dyDescent="0.3">
      <c r="A218">
        <v>13031024</v>
      </c>
      <c r="B218">
        <v>27475024</v>
      </c>
      <c r="C218" t="s">
        <v>15</v>
      </c>
      <c r="D218">
        <v>98</v>
      </c>
      <c r="E218" s="5">
        <f t="shared" si="11"/>
        <v>36.700000000000003</v>
      </c>
      <c r="F218">
        <v>175</v>
      </c>
      <c r="G218">
        <v>88</v>
      </c>
      <c r="H218">
        <v>74</v>
      </c>
      <c r="I218">
        <v>18</v>
      </c>
      <c r="J218">
        <v>97</v>
      </c>
      <c r="K218" t="b">
        <v>0</v>
      </c>
      <c r="L218" t="s">
        <v>16</v>
      </c>
      <c r="M218" t="s">
        <v>16</v>
      </c>
      <c r="N218">
        <f t="shared" si="12"/>
        <v>1</v>
      </c>
      <c r="O218">
        <f t="shared" si="13"/>
        <v>0</v>
      </c>
    </row>
    <row r="219" spans="1:15" x14ac:dyDescent="0.3">
      <c r="A219">
        <v>17385589</v>
      </c>
      <c r="B219">
        <v>27500126</v>
      </c>
      <c r="C219" t="s">
        <v>15</v>
      </c>
      <c r="D219">
        <v>97.8</v>
      </c>
      <c r="E219" s="5">
        <f t="shared" si="11"/>
        <v>36.6</v>
      </c>
      <c r="F219">
        <v>139</v>
      </c>
      <c r="G219">
        <v>90</v>
      </c>
      <c r="H219">
        <v>58</v>
      </c>
      <c r="I219">
        <v>14</v>
      </c>
      <c r="J219">
        <v>99</v>
      </c>
      <c r="K219" t="b">
        <v>0</v>
      </c>
      <c r="L219" t="s">
        <v>16</v>
      </c>
      <c r="M219" t="s">
        <v>16</v>
      </c>
      <c r="N219">
        <f t="shared" si="12"/>
        <v>0</v>
      </c>
      <c r="O219">
        <f t="shared" si="13"/>
        <v>0</v>
      </c>
    </row>
    <row r="220" spans="1:15" x14ac:dyDescent="0.3">
      <c r="A220">
        <v>11894825</v>
      </c>
      <c r="B220">
        <v>27594672</v>
      </c>
      <c r="C220" t="s">
        <v>15</v>
      </c>
      <c r="D220">
        <v>98.2</v>
      </c>
      <c r="E220" s="5">
        <f t="shared" si="11"/>
        <v>36.799999999999997</v>
      </c>
      <c r="F220">
        <v>109</v>
      </c>
      <c r="G220">
        <v>76</v>
      </c>
      <c r="H220">
        <v>99</v>
      </c>
      <c r="I220">
        <v>21</v>
      </c>
      <c r="J220">
        <v>97</v>
      </c>
      <c r="K220" t="b">
        <v>1</v>
      </c>
      <c r="L220" t="s">
        <v>16</v>
      </c>
      <c r="M220" t="s">
        <v>16</v>
      </c>
      <c r="N220">
        <f t="shared" si="12"/>
        <v>2</v>
      </c>
      <c r="O220">
        <f t="shared" si="13"/>
        <v>6</v>
      </c>
    </row>
    <row r="221" spans="1:15" x14ac:dyDescent="0.3">
      <c r="A221">
        <v>12618901</v>
      </c>
      <c r="B221">
        <v>27723711</v>
      </c>
      <c r="C221" t="s">
        <v>15</v>
      </c>
      <c r="D221">
        <v>99.5</v>
      </c>
      <c r="E221" s="5">
        <f t="shared" ref="E221:E284" si="14">ROUND((D221-32)*(5/9),1)</f>
        <v>37.5</v>
      </c>
      <c r="F221">
        <v>138</v>
      </c>
      <c r="G221">
        <v>79</v>
      </c>
      <c r="H221">
        <v>94</v>
      </c>
      <c r="I221">
        <v>16</v>
      </c>
      <c r="J221">
        <v>100</v>
      </c>
      <c r="K221" t="b">
        <v>0</v>
      </c>
      <c r="L221" t="s">
        <v>16</v>
      </c>
      <c r="M221" t="s">
        <v>16</v>
      </c>
      <c r="N221">
        <f t="shared" ref="N221:N284" si="15">IF(I221&lt;9,2,IF(I221&lt;=14,0,IF(I221&lt;=20,1,IF(I221&lt;=29,2,3))))+IF(H221&lt;=40,2,IF(H221&lt;=50,1,IF(H221&lt;=100,0,IF(H221&lt;=110,1,IF(H221&lt;=129,2,3)))))+IF(F221&lt;=70,3,IF(F221&lt;=80,2,IF(F221&lt;=100,1,IF(F221&lt;200,0,IF(F221&gt;=200,2,0)))))+IF(E221&lt;35,2,IF(E221&lt;=38.4,0,2))+IF(M221="Alert",0,IF(M221="Voice",1,IF(M221="Pain",2,IF(M221="Unresponsive",3,0))))</f>
        <v>1</v>
      </c>
      <c r="O221">
        <f t="shared" ref="O221:O284" si="16">IF(I221&lt;=8,3,IF(I221&lt;=11,1,IF(I221&lt;=20,0,IF(I221&lt;=24,2,3))))
+IF(J221&lt;=91,3,IF(J221&lt;=93,2,IF(J221&lt;=95,1,0)))
+IF(K221=TRUE,2,0)
+IF(F221&lt;=90,3,IF(F221&lt;=100,2,IF(F221&lt;=110,1,IF(F221&lt;=219,0,3))))
+IF(H221&lt;=40,3,IF(H221&lt;=50,1,IF(H221&lt;=90,0,IF(H221&lt;=110,1,IF(H221&lt;=130,2,3)))))
+IF(M221="Alert",0,3)
+IF(E221&lt;=35,3,IF(E221&lt;=36,1,IF(E221&lt;=38,0,IF(E221&lt;=39,1,2))))</f>
        <v>1</v>
      </c>
    </row>
    <row r="222" spans="1:15" x14ac:dyDescent="0.3">
      <c r="A222">
        <v>14651424</v>
      </c>
      <c r="B222">
        <v>27825481</v>
      </c>
      <c r="C222" t="s">
        <v>17</v>
      </c>
      <c r="D222">
        <v>98.1</v>
      </c>
      <c r="E222" s="5">
        <f t="shared" si="14"/>
        <v>36.700000000000003</v>
      </c>
      <c r="F222">
        <v>130</v>
      </c>
      <c r="G222">
        <v>87</v>
      </c>
      <c r="H222">
        <v>89</v>
      </c>
      <c r="I222">
        <v>18</v>
      </c>
      <c r="J222">
        <v>99</v>
      </c>
      <c r="K222" t="b">
        <v>0</v>
      </c>
      <c r="L222" t="s">
        <v>16</v>
      </c>
      <c r="M222" t="s">
        <v>16</v>
      </c>
      <c r="N222">
        <f t="shared" si="15"/>
        <v>1</v>
      </c>
      <c r="O222">
        <f t="shared" si="16"/>
        <v>0</v>
      </c>
    </row>
    <row r="223" spans="1:15" x14ac:dyDescent="0.3">
      <c r="A223">
        <v>14178945</v>
      </c>
      <c r="B223">
        <v>27938104</v>
      </c>
      <c r="C223" t="s">
        <v>15</v>
      </c>
      <c r="D223">
        <v>98.3</v>
      </c>
      <c r="E223" s="5">
        <f t="shared" si="14"/>
        <v>36.799999999999997</v>
      </c>
      <c r="F223">
        <v>166</v>
      </c>
      <c r="G223">
        <v>96</v>
      </c>
      <c r="H223">
        <v>78</v>
      </c>
      <c r="I223">
        <v>18</v>
      </c>
      <c r="J223">
        <v>96</v>
      </c>
      <c r="K223" t="b">
        <v>0</v>
      </c>
      <c r="L223" t="s">
        <v>16</v>
      </c>
      <c r="M223" t="s">
        <v>16</v>
      </c>
      <c r="N223">
        <f t="shared" si="15"/>
        <v>1</v>
      </c>
      <c r="O223">
        <f t="shared" si="16"/>
        <v>0</v>
      </c>
    </row>
    <row r="224" spans="1:15" x14ac:dyDescent="0.3">
      <c r="A224">
        <v>11790586</v>
      </c>
      <c r="B224">
        <v>28115593</v>
      </c>
      <c r="C224" t="s">
        <v>18</v>
      </c>
      <c r="D224">
        <v>98.3</v>
      </c>
      <c r="E224" s="5">
        <f t="shared" si="14"/>
        <v>36.799999999999997</v>
      </c>
      <c r="F224">
        <v>151</v>
      </c>
      <c r="G224">
        <v>79</v>
      </c>
      <c r="H224">
        <v>81</v>
      </c>
      <c r="I224">
        <v>18</v>
      </c>
      <c r="J224">
        <v>98</v>
      </c>
      <c r="K224" t="b">
        <v>0</v>
      </c>
      <c r="L224" t="s">
        <v>16</v>
      </c>
      <c r="M224" t="s">
        <v>16</v>
      </c>
      <c r="N224">
        <f t="shared" si="15"/>
        <v>1</v>
      </c>
      <c r="O224">
        <f t="shared" si="16"/>
        <v>0</v>
      </c>
    </row>
    <row r="225" spans="1:15" x14ac:dyDescent="0.3">
      <c r="A225">
        <v>19828866</v>
      </c>
      <c r="B225">
        <v>28141359</v>
      </c>
      <c r="C225" t="s">
        <v>15</v>
      </c>
      <c r="D225">
        <v>98.5</v>
      </c>
      <c r="E225" s="5">
        <f t="shared" si="14"/>
        <v>36.9</v>
      </c>
      <c r="F225">
        <v>122</v>
      </c>
      <c r="G225">
        <v>65</v>
      </c>
      <c r="H225">
        <v>92</v>
      </c>
      <c r="I225">
        <v>20</v>
      </c>
      <c r="J225">
        <v>98</v>
      </c>
      <c r="K225" t="b">
        <v>1</v>
      </c>
      <c r="L225" t="s">
        <v>22</v>
      </c>
      <c r="M225" t="s">
        <v>22</v>
      </c>
      <c r="N225">
        <f t="shared" si="15"/>
        <v>2</v>
      </c>
      <c r="O225">
        <f t="shared" si="16"/>
        <v>6</v>
      </c>
    </row>
    <row r="226" spans="1:15" x14ac:dyDescent="0.3">
      <c r="A226">
        <v>14095400</v>
      </c>
      <c r="B226">
        <v>28165466</v>
      </c>
      <c r="C226" t="s">
        <v>15</v>
      </c>
      <c r="D226">
        <v>98.4</v>
      </c>
      <c r="E226" s="5">
        <f t="shared" si="14"/>
        <v>36.9</v>
      </c>
      <c r="F226">
        <v>144</v>
      </c>
      <c r="G226">
        <v>84</v>
      </c>
      <c r="H226">
        <v>94</v>
      </c>
      <c r="I226">
        <v>16</v>
      </c>
      <c r="J226">
        <v>97</v>
      </c>
      <c r="K226" t="b">
        <v>0</v>
      </c>
      <c r="L226" t="s">
        <v>16</v>
      </c>
      <c r="M226" t="s">
        <v>16</v>
      </c>
      <c r="N226">
        <f t="shared" si="15"/>
        <v>1</v>
      </c>
      <c r="O226">
        <f t="shared" si="16"/>
        <v>1</v>
      </c>
    </row>
    <row r="227" spans="1:15" x14ac:dyDescent="0.3">
      <c r="A227">
        <v>14690121</v>
      </c>
      <c r="B227">
        <v>28173231</v>
      </c>
      <c r="C227" t="s">
        <v>15</v>
      </c>
      <c r="D227">
        <v>98.3</v>
      </c>
      <c r="E227" s="5">
        <f t="shared" si="14"/>
        <v>36.799999999999997</v>
      </c>
      <c r="F227">
        <v>120</v>
      </c>
      <c r="G227">
        <v>80</v>
      </c>
      <c r="H227">
        <v>64</v>
      </c>
      <c r="I227">
        <v>18</v>
      </c>
      <c r="J227">
        <v>100</v>
      </c>
      <c r="K227" t="b">
        <v>0</v>
      </c>
      <c r="L227" t="s">
        <v>16</v>
      </c>
      <c r="M227" t="s">
        <v>16</v>
      </c>
      <c r="N227">
        <f t="shared" si="15"/>
        <v>1</v>
      </c>
      <c r="O227">
        <f t="shared" si="16"/>
        <v>0</v>
      </c>
    </row>
    <row r="228" spans="1:15" x14ac:dyDescent="0.3">
      <c r="A228">
        <v>17494298</v>
      </c>
      <c r="B228">
        <v>28486832</v>
      </c>
      <c r="C228" t="s">
        <v>15</v>
      </c>
      <c r="D228">
        <v>98.4</v>
      </c>
      <c r="E228" s="5">
        <f t="shared" si="14"/>
        <v>36.9</v>
      </c>
      <c r="F228">
        <v>144</v>
      </c>
      <c r="G228">
        <v>51</v>
      </c>
      <c r="H228">
        <v>63</v>
      </c>
      <c r="I228">
        <v>20</v>
      </c>
      <c r="J228">
        <v>100</v>
      </c>
      <c r="K228" t="b">
        <v>0</v>
      </c>
      <c r="L228" t="s">
        <v>16</v>
      </c>
      <c r="M228" t="s">
        <v>16</v>
      </c>
      <c r="N228">
        <f t="shared" si="15"/>
        <v>1</v>
      </c>
      <c r="O228">
        <f t="shared" si="16"/>
        <v>0</v>
      </c>
    </row>
    <row r="229" spans="1:15" x14ac:dyDescent="0.3">
      <c r="A229">
        <v>19877772</v>
      </c>
      <c r="B229">
        <v>28508244</v>
      </c>
      <c r="C229" t="s">
        <v>15</v>
      </c>
      <c r="D229" s="13">
        <v>98</v>
      </c>
      <c r="E229" s="5">
        <f t="shared" si="14"/>
        <v>36.700000000000003</v>
      </c>
      <c r="F229" s="12">
        <v>115</v>
      </c>
      <c r="G229" s="12">
        <v>75</v>
      </c>
      <c r="H229" s="12">
        <v>67</v>
      </c>
      <c r="I229" t="s">
        <v>23</v>
      </c>
      <c r="J229">
        <v>100</v>
      </c>
      <c r="K229" t="b">
        <v>0</v>
      </c>
      <c r="L229" t="s">
        <v>16</v>
      </c>
      <c r="M229" t="s">
        <v>16</v>
      </c>
      <c r="N229" t="s">
        <v>23</v>
      </c>
      <c r="O229" t="s">
        <v>23</v>
      </c>
    </row>
    <row r="230" spans="1:15" x14ac:dyDescent="0.3">
      <c r="A230">
        <v>14892207</v>
      </c>
      <c r="B230">
        <v>28515120</v>
      </c>
      <c r="C230" t="s">
        <v>15</v>
      </c>
      <c r="D230" t="s">
        <v>23</v>
      </c>
      <c r="E230" t="s">
        <v>23</v>
      </c>
      <c r="F230" s="12">
        <v>224</v>
      </c>
      <c r="G230" s="12">
        <v>140</v>
      </c>
      <c r="H230" t="s">
        <v>23</v>
      </c>
      <c r="I230" t="s">
        <v>23</v>
      </c>
      <c r="J230" t="s">
        <v>23</v>
      </c>
      <c r="K230" t="b">
        <v>0</v>
      </c>
      <c r="L230" t="s">
        <v>16</v>
      </c>
      <c r="M230" t="s">
        <v>16</v>
      </c>
      <c r="N230" t="s">
        <v>23</v>
      </c>
      <c r="O230" t="s">
        <v>23</v>
      </c>
    </row>
    <row r="231" spans="1:15" x14ac:dyDescent="0.3">
      <c r="A231">
        <v>12432052</v>
      </c>
      <c r="B231">
        <v>28578360</v>
      </c>
      <c r="C231" t="s">
        <v>18</v>
      </c>
      <c r="D231">
        <v>97</v>
      </c>
      <c r="E231" s="5">
        <f t="shared" si="14"/>
        <v>36.1</v>
      </c>
      <c r="F231" s="12">
        <v>105</v>
      </c>
      <c r="G231" s="12">
        <v>50</v>
      </c>
      <c r="H231" s="12">
        <v>77</v>
      </c>
      <c r="I231" s="12">
        <v>18</v>
      </c>
      <c r="J231" s="12">
        <v>98</v>
      </c>
      <c r="K231" t="b">
        <v>0</v>
      </c>
      <c r="L231" t="s">
        <v>16</v>
      </c>
      <c r="M231" t="s">
        <v>16</v>
      </c>
      <c r="N231">
        <f t="shared" si="15"/>
        <v>1</v>
      </c>
      <c r="O231">
        <f t="shared" si="16"/>
        <v>1</v>
      </c>
    </row>
    <row r="232" spans="1:15" x14ac:dyDescent="0.3">
      <c r="A232">
        <v>13684955</v>
      </c>
      <c r="B232">
        <v>28784662</v>
      </c>
      <c r="C232" t="s">
        <v>15</v>
      </c>
      <c r="D232" t="s">
        <v>23</v>
      </c>
      <c r="E232" t="s">
        <v>23</v>
      </c>
      <c r="F232" s="12">
        <v>150</v>
      </c>
      <c r="G232" s="12">
        <v>75</v>
      </c>
      <c r="H232" t="s">
        <v>23</v>
      </c>
      <c r="I232" t="s">
        <v>23</v>
      </c>
      <c r="J232" t="s">
        <v>23</v>
      </c>
      <c r="K232" t="b">
        <v>0</v>
      </c>
      <c r="L232" t="s">
        <v>16</v>
      </c>
      <c r="M232" t="s">
        <v>16</v>
      </c>
      <c r="N232" t="s">
        <v>23</v>
      </c>
      <c r="O232" t="s">
        <v>23</v>
      </c>
    </row>
    <row r="233" spans="1:15" x14ac:dyDescent="0.3">
      <c r="A233">
        <v>16528927</v>
      </c>
      <c r="B233">
        <v>28989828</v>
      </c>
      <c r="C233" t="s">
        <v>17</v>
      </c>
      <c r="D233" t="s">
        <v>23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b">
        <v>1</v>
      </c>
      <c r="L233" t="s">
        <v>20</v>
      </c>
      <c r="M233" t="s">
        <v>20</v>
      </c>
      <c r="N233" t="s">
        <v>23</v>
      </c>
      <c r="O233" t="s">
        <v>23</v>
      </c>
    </row>
    <row r="234" spans="1:15" x14ac:dyDescent="0.3">
      <c r="A234">
        <v>18004615</v>
      </c>
      <c r="B234">
        <v>29199167</v>
      </c>
      <c r="C234" t="s">
        <v>17</v>
      </c>
      <c r="D234">
        <v>98</v>
      </c>
      <c r="E234" s="5">
        <f t="shared" si="14"/>
        <v>36.700000000000003</v>
      </c>
      <c r="F234" s="12">
        <v>117</v>
      </c>
      <c r="G234" s="12">
        <v>69</v>
      </c>
      <c r="H234" s="12">
        <v>58</v>
      </c>
      <c r="I234" s="12">
        <v>18</v>
      </c>
      <c r="J234" s="12">
        <v>98</v>
      </c>
      <c r="K234" t="b">
        <v>0</v>
      </c>
      <c r="L234" t="s">
        <v>16</v>
      </c>
      <c r="M234" t="s">
        <v>16</v>
      </c>
      <c r="N234">
        <f t="shared" si="15"/>
        <v>1</v>
      </c>
      <c r="O234">
        <f t="shared" si="16"/>
        <v>0</v>
      </c>
    </row>
    <row r="235" spans="1:15" x14ac:dyDescent="0.3">
      <c r="A235">
        <v>10707907</v>
      </c>
      <c r="B235">
        <v>29294557</v>
      </c>
      <c r="C235" t="s">
        <v>17</v>
      </c>
      <c r="D235" t="s">
        <v>23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b">
        <v>1</v>
      </c>
      <c r="L235" t="s">
        <v>21</v>
      </c>
      <c r="M235" t="s">
        <v>21</v>
      </c>
      <c r="N235" t="s">
        <v>23</v>
      </c>
      <c r="O235" t="s">
        <v>23</v>
      </c>
    </row>
    <row r="236" spans="1:15" x14ac:dyDescent="0.3">
      <c r="A236">
        <v>18530734</v>
      </c>
      <c r="B236">
        <v>29703081</v>
      </c>
      <c r="C236" t="s">
        <v>15</v>
      </c>
      <c r="D236">
        <v>98.1</v>
      </c>
      <c r="E236" s="5">
        <f t="shared" si="14"/>
        <v>36.700000000000003</v>
      </c>
      <c r="F236" s="12">
        <v>154</v>
      </c>
      <c r="G236" s="12">
        <v>82</v>
      </c>
      <c r="H236" s="12">
        <v>72</v>
      </c>
      <c r="I236" s="12">
        <v>16</v>
      </c>
      <c r="J236" s="12">
        <v>99</v>
      </c>
      <c r="K236" t="b">
        <v>0</v>
      </c>
      <c r="L236" t="s">
        <v>16</v>
      </c>
      <c r="M236" t="s">
        <v>16</v>
      </c>
      <c r="N236">
        <f t="shared" si="15"/>
        <v>1</v>
      </c>
      <c r="O236">
        <f t="shared" si="16"/>
        <v>0</v>
      </c>
    </row>
    <row r="237" spans="1:15" x14ac:dyDescent="0.3">
      <c r="A237">
        <v>17585916</v>
      </c>
      <c r="B237">
        <v>29817669</v>
      </c>
      <c r="C237" t="s">
        <v>17</v>
      </c>
      <c r="D237">
        <v>99.2</v>
      </c>
      <c r="E237" s="5">
        <f t="shared" si="14"/>
        <v>37.299999999999997</v>
      </c>
      <c r="F237" s="12">
        <v>106</v>
      </c>
      <c r="G237" s="12">
        <v>88</v>
      </c>
      <c r="H237" s="12">
        <v>130</v>
      </c>
      <c r="I237" s="12">
        <v>18</v>
      </c>
      <c r="J237" s="12">
        <v>92</v>
      </c>
      <c r="K237" t="b">
        <v>0</v>
      </c>
      <c r="L237" t="s">
        <v>16</v>
      </c>
      <c r="M237" t="s">
        <v>16</v>
      </c>
      <c r="N237">
        <f t="shared" si="15"/>
        <v>4</v>
      </c>
      <c r="O237">
        <f t="shared" si="16"/>
        <v>5</v>
      </c>
    </row>
    <row r="238" spans="1:15" x14ac:dyDescent="0.3">
      <c r="A238">
        <v>11875369</v>
      </c>
      <c r="B238">
        <v>29825229</v>
      </c>
      <c r="C238" t="s">
        <v>15</v>
      </c>
      <c r="D238">
        <v>97.8</v>
      </c>
      <c r="E238" s="5">
        <f t="shared" si="14"/>
        <v>36.6</v>
      </c>
      <c r="F238" s="12">
        <v>133</v>
      </c>
      <c r="G238" s="12">
        <v>46</v>
      </c>
      <c r="H238" s="12">
        <v>64</v>
      </c>
      <c r="I238" s="12">
        <v>14</v>
      </c>
      <c r="J238" s="12">
        <v>96</v>
      </c>
      <c r="K238" t="b">
        <v>0</v>
      </c>
      <c r="L238" t="s">
        <v>16</v>
      </c>
      <c r="M238" t="s">
        <v>16</v>
      </c>
      <c r="N238">
        <f t="shared" si="15"/>
        <v>0</v>
      </c>
      <c r="O238">
        <f t="shared" si="16"/>
        <v>0</v>
      </c>
    </row>
    <row r="239" spans="1:15" x14ac:dyDescent="0.3">
      <c r="A239">
        <v>16029687</v>
      </c>
      <c r="B239">
        <v>29845828</v>
      </c>
      <c r="C239" t="s">
        <v>15</v>
      </c>
      <c r="D239">
        <v>98</v>
      </c>
      <c r="E239" s="5">
        <f t="shared" si="14"/>
        <v>36.700000000000003</v>
      </c>
      <c r="F239" s="12">
        <v>128</v>
      </c>
      <c r="G239" s="12">
        <v>102</v>
      </c>
      <c r="H239" s="12">
        <v>80</v>
      </c>
      <c r="I239" s="12">
        <v>12</v>
      </c>
      <c r="J239" s="12">
        <v>97</v>
      </c>
      <c r="K239" t="b">
        <v>0</v>
      </c>
      <c r="L239" t="s">
        <v>16</v>
      </c>
      <c r="M239" t="s">
        <v>16</v>
      </c>
      <c r="N239">
        <f t="shared" si="15"/>
        <v>0</v>
      </c>
      <c r="O239">
        <f t="shared" si="16"/>
        <v>0</v>
      </c>
    </row>
    <row r="240" spans="1:15" x14ac:dyDescent="0.3">
      <c r="A240">
        <v>15938562</v>
      </c>
      <c r="B240">
        <v>29882851</v>
      </c>
      <c r="C240" t="s">
        <v>15</v>
      </c>
      <c r="D240">
        <v>97.7</v>
      </c>
      <c r="E240" s="5">
        <f t="shared" si="14"/>
        <v>36.5</v>
      </c>
      <c r="F240" s="12">
        <v>143</v>
      </c>
      <c r="G240" s="12">
        <v>95</v>
      </c>
      <c r="H240" s="12">
        <v>79</v>
      </c>
      <c r="I240" s="12">
        <v>16</v>
      </c>
      <c r="J240" s="12">
        <v>98</v>
      </c>
      <c r="K240" t="b">
        <v>0</v>
      </c>
      <c r="L240" t="s">
        <v>16</v>
      </c>
      <c r="M240" t="s">
        <v>16</v>
      </c>
      <c r="N240">
        <f t="shared" si="15"/>
        <v>1</v>
      </c>
      <c r="O240">
        <f t="shared" si="16"/>
        <v>0</v>
      </c>
    </row>
    <row r="241" spans="1:15" x14ac:dyDescent="0.3">
      <c r="A241">
        <v>18535322</v>
      </c>
      <c r="B241">
        <v>29991935</v>
      </c>
      <c r="C241" t="s">
        <v>17</v>
      </c>
      <c r="D241">
        <v>97.7</v>
      </c>
      <c r="E241" s="5">
        <f t="shared" si="14"/>
        <v>36.5</v>
      </c>
      <c r="F241" s="12">
        <v>143</v>
      </c>
      <c r="G241" s="12">
        <v>80</v>
      </c>
      <c r="H241" s="12">
        <v>80</v>
      </c>
      <c r="I241" s="12">
        <v>18</v>
      </c>
      <c r="J241" s="12">
        <v>96</v>
      </c>
      <c r="K241" t="b">
        <v>0</v>
      </c>
      <c r="L241" t="s">
        <v>16</v>
      </c>
      <c r="M241" t="s">
        <v>16</v>
      </c>
      <c r="N241">
        <f t="shared" si="15"/>
        <v>1</v>
      </c>
      <c r="O241">
        <f t="shared" si="16"/>
        <v>0</v>
      </c>
    </row>
    <row r="242" spans="1:15" x14ac:dyDescent="0.3">
      <c r="E242" s="5">
        <f t="shared" si="14"/>
        <v>-17.8</v>
      </c>
      <c r="K242" t="b">
        <v>0</v>
      </c>
      <c r="L242" t="s">
        <v>16</v>
      </c>
      <c r="M242" t="s">
        <v>16</v>
      </c>
      <c r="N242">
        <f t="shared" si="15"/>
        <v>9</v>
      </c>
      <c r="O242">
        <f t="shared" si="16"/>
        <v>15</v>
      </c>
    </row>
    <row r="243" spans="1:15" x14ac:dyDescent="0.3">
      <c r="E243" s="5">
        <f t="shared" si="14"/>
        <v>-17.8</v>
      </c>
      <c r="K243" t="b">
        <v>0</v>
      </c>
      <c r="L243" t="s">
        <v>16</v>
      </c>
      <c r="M243" t="s">
        <v>16</v>
      </c>
      <c r="N243">
        <f t="shared" si="15"/>
        <v>9</v>
      </c>
      <c r="O243">
        <f t="shared" si="16"/>
        <v>15</v>
      </c>
    </row>
    <row r="244" spans="1:15" x14ac:dyDescent="0.3">
      <c r="E244" s="5">
        <f t="shared" si="14"/>
        <v>-17.8</v>
      </c>
      <c r="K244" t="b">
        <v>0</v>
      </c>
      <c r="L244" t="s">
        <v>16</v>
      </c>
      <c r="M244" t="s">
        <v>16</v>
      </c>
      <c r="N244">
        <f t="shared" si="15"/>
        <v>9</v>
      </c>
      <c r="O244">
        <f t="shared" si="16"/>
        <v>15</v>
      </c>
    </row>
    <row r="245" spans="1:15" x14ac:dyDescent="0.3">
      <c r="E245" s="5">
        <f t="shared" si="14"/>
        <v>-17.8</v>
      </c>
      <c r="K245" t="b">
        <v>0</v>
      </c>
      <c r="L245" t="s">
        <v>16</v>
      </c>
      <c r="M245" t="s">
        <v>16</v>
      </c>
      <c r="N245">
        <f t="shared" si="15"/>
        <v>9</v>
      </c>
      <c r="O245">
        <f t="shared" si="16"/>
        <v>15</v>
      </c>
    </row>
    <row r="246" spans="1:15" x14ac:dyDescent="0.3">
      <c r="E246" s="5">
        <f t="shared" si="14"/>
        <v>-17.8</v>
      </c>
      <c r="K246" t="b">
        <v>0</v>
      </c>
      <c r="L246" t="s">
        <v>16</v>
      </c>
      <c r="M246" t="s">
        <v>16</v>
      </c>
      <c r="N246">
        <f t="shared" si="15"/>
        <v>9</v>
      </c>
      <c r="O246">
        <f t="shared" si="16"/>
        <v>15</v>
      </c>
    </row>
    <row r="247" spans="1:15" x14ac:dyDescent="0.3">
      <c r="E247" s="5">
        <f t="shared" si="14"/>
        <v>-17.8</v>
      </c>
      <c r="K247" t="b">
        <v>0</v>
      </c>
      <c r="L247" t="s">
        <v>16</v>
      </c>
      <c r="M247" t="s">
        <v>16</v>
      </c>
      <c r="N247">
        <f t="shared" si="15"/>
        <v>9</v>
      </c>
      <c r="O247">
        <f t="shared" si="16"/>
        <v>15</v>
      </c>
    </row>
    <row r="248" spans="1:15" x14ac:dyDescent="0.3">
      <c r="E248" s="5">
        <f t="shared" si="14"/>
        <v>-17.8</v>
      </c>
      <c r="K248" t="b">
        <v>0</v>
      </c>
      <c r="L248" t="s">
        <v>16</v>
      </c>
      <c r="M248" t="s">
        <v>16</v>
      </c>
      <c r="N248">
        <f t="shared" si="15"/>
        <v>9</v>
      </c>
      <c r="O248">
        <f t="shared" si="16"/>
        <v>15</v>
      </c>
    </row>
    <row r="249" spans="1:15" x14ac:dyDescent="0.3">
      <c r="E249" s="5">
        <f t="shared" si="14"/>
        <v>-17.8</v>
      </c>
      <c r="K249" t="b">
        <v>0</v>
      </c>
      <c r="L249" t="s">
        <v>16</v>
      </c>
      <c r="M249" t="s">
        <v>16</v>
      </c>
      <c r="N249">
        <f t="shared" si="15"/>
        <v>9</v>
      </c>
      <c r="O249">
        <f t="shared" si="16"/>
        <v>15</v>
      </c>
    </row>
    <row r="250" spans="1:15" x14ac:dyDescent="0.3">
      <c r="E250" s="5">
        <f t="shared" si="14"/>
        <v>-17.8</v>
      </c>
      <c r="K250" t="b">
        <v>0</v>
      </c>
      <c r="L250" t="s">
        <v>16</v>
      </c>
      <c r="M250" t="s">
        <v>16</v>
      </c>
      <c r="N250">
        <f t="shared" si="15"/>
        <v>9</v>
      </c>
      <c r="O250">
        <f t="shared" si="16"/>
        <v>15</v>
      </c>
    </row>
    <row r="251" spans="1:15" x14ac:dyDescent="0.3">
      <c r="E251" s="5">
        <f t="shared" si="14"/>
        <v>-17.8</v>
      </c>
      <c r="K251" t="b">
        <v>0</v>
      </c>
      <c r="L251" t="s">
        <v>16</v>
      </c>
      <c r="M251" t="s">
        <v>16</v>
      </c>
      <c r="N251">
        <f t="shared" si="15"/>
        <v>9</v>
      </c>
      <c r="O251">
        <f t="shared" si="16"/>
        <v>15</v>
      </c>
    </row>
    <row r="252" spans="1:15" x14ac:dyDescent="0.3">
      <c r="E252" s="5">
        <f t="shared" si="14"/>
        <v>-17.8</v>
      </c>
      <c r="K252" t="b">
        <v>0</v>
      </c>
      <c r="L252" t="s">
        <v>16</v>
      </c>
      <c r="M252" t="s">
        <v>16</v>
      </c>
      <c r="N252">
        <f t="shared" si="15"/>
        <v>9</v>
      </c>
      <c r="O252">
        <f t="shared" si="16"/>
        <v>15</v>
      </c>
    </row>
    <row r="253" spans="1:15" x14ac:dyDescent="0.3">
      <c r="E253" s="5">
        <f t="shared" si="14"/>
        <v>-17.8</v>
      </c>
      <c r="K253" t="b">
        <v>0</v>
      </c>
      <c r="L253" t="s">
        <v>16</v>
      </c>
      <c r="M253" t="s">
        <v>16</v>
      </c>
      <c r="N253">
        <f t="shared" si="15"/>
        <v>9</v>
      </c>
      <c r="O253">
        <f t="shared" si="16"/>
        <v>15</v>
      </c>
    </row>
    <row r="254" spans="1:15" x14ac:dyDescent="0.3">
      <c r="E254" s="5">
        <f t="shared" si="14"/>
        <v>-17.8</v>
      </c>
      <c r="K254" t="b">
        <v>0</v>
      </c>
      <c r="L254" t="s">
        <v>16</v>
      </c>
      <c r="M254" t="s">
        <v>16</v>
      </c>
      <c r="N254">
        <f t="shared" si="15"/>
        <v>9</v>
      </c>
      <c r="O254">
        <f t="shared" si="16"/>
        <v>15</v>
      </c>
    </row>
    <row r="255" spans="1:15" x14ac:dyDescent="0.3">
      <c r="E255" s="5">
        <f t="shared" si="14"/>
        <v>-17.8</v>
      </c>
      <c r="K255" t="b">
        <v>0</v>
      </c>
      <c r="L255" t="s">
        <v>16</v>
      </c>
      <c r="M255" t="s">
        <v>16</v>
      </c>
      <c r="N255">
        <f t="shared" si="15"/>
        <v>9</v>
      </c>
      <c r="O255">
        <f t="shared" si="16"/>
        <v>15</v>
      </c>
    </row>
    <row r="256" spans="1:15" x14ac:dyDescent="0.3">
      <c r="E256" s="5">
        <f t="shared" si="14"/>
        <v>-17.8</v>
      </c>
      <c r="K256" t="b">
        <v>0</v>
      </c>
      <c r="L256" t="s">
        <v>16</v>
      </c>
      <c r="M256" t="s">
        <v>16</v>
      </c>
      <c r="N256">
        <f t="shared" si="15"/>
        <v>9</v>
      </c>
      <c r="O256">
        <f t="shared" si="16"/>
        <v>15</v>
      </c>
    </row>
    <row r="257" spans="5:15" x14ac:dyDescent="0.3">
      <c r="E257" s="5">
        <f t="shared" si="14"/>
        <v>-17.8</v>
      </c>
      <c r="K257" t="b">
        <v>0</v>
      </c>
      <c r="L257" t="s">
        <v>16</v>
      </c>
      <c r="M257" t="s">
        <v>16</v>
      </c>
      <c r="N257">
        <f t="shared" si="15"/>
        <v>9</v>
      </c>
      <c r="O257">
        <f t="shared" si="16"/>
        <v>15</v>
      </c>
    </row>
    <row r="258" spans="5:15" x14ac:dyDescent="0.3">
      <c r="E258" s="5">
        <f t="shared" si="14"/>
        <v>-17.8</v>
      </c>
      <c r="K258" t="b">
        <v>0</v>
      </c>
      <c r="L258" t="s">
        <v>16</v>
      </c>
      <c r="M258" t="s">
        <v>16</v>
      </c>
      <c r="N258">
        <f t="shared" si="15"/>
        <v>9</v>
      </c>
      <c r="O258">
        <f t="shared" si="16"/>
        <v>15</v>
      </c>
    </row>
    <row r="259" spans="5:15" x14ac:dyDescent="0.3">
      <c r="E259" s="5">
        <f t="shared" si="14"/>
        <v>-17.8</v>
      </c>
      <c r="K259" t="b">
        <v>0</v>
      </c>
      <c r="L259" t="s">
        <v>16</v>
      </c>
      <c r="M259" t="s">
        <v>16</v>
      </c>
      <c r="N259">
        <f t="shared" si="15"/>
        <v>9</v>
      </c>
      <c r="O259">
        <f t="shared" si="16"/>
        <v>15</v>
      </c>
    </row>
    <row r="260" spans="5:15" x14ac:dyDescent="0.3">
      <c r="E260" s="5">
        <f t="shared" si="14"/>
        <v>-17.8</v>
      </c>
      <c r="K260" t="b">
        <v>0</v>
      </c>
      <c r="L260" t="s">
        <v>16</v>
      </c>
      <c r="M260" t="s">
        <v>16</v>
      </c>
      <c r="N260">
        <f t="shared" si="15"/>
        <v>9</v>
      </c>
      <c r="O260">
        <f t="shared" si="16"/>
        <v>15</v>
      </c>
    </row>
    <row r="261" spans="5:15" x14ac:dyDescent="0.3">
      <c r="E261" s="5">
        <f t="shared" si="14"/>
        <v>-17.8</v>
      </c>
      <c r="K261" t="b">
        <v>0</v>
      </c>
      <c r="L261" t="s">
        <v>16</v>
      </c>
      <c r="M261" t="s">
        <v>16</v>
      </c>
      <c r="N261">
        <f t="shared" si="15"/>
        <v>9</v>
      </c>
      <c r="O261">
        <f t="shared" si="16"/>
        <v>15</v>
      </c>
    </row>
    <row r="262" spans="5:15" x14ac:dyDescent="0.3">
      <c r="E262" s="5">
        <f t="shared" si="14"/>
        <v>-17.8</v>
      </c>
      <c r="K262" t="b">
        <v>0</v>
      </c>
      <c r="L262" t="s">
        <v>16</v>
      </c>
      <c r="M262" t="s">
        <v>16</v>
      </c>
      <c r="N262">
        <f t="shared" si="15"/>
        <v>9</v>
      </c>
      <c r="O262">
        <f t="shared" si="16"/>
        <v>15</v>
      </c>
    </row>
    <row r="263" spans="5:15" x14ac:dyDescent="0.3">
      <c r="E263" s="5">
        <f t="shared" si="14"/>
        <v>-17.8</v>
      </c>
      <c r="K263" t="b">
        <v>0</v>
      </c>
      <c r="L263" t="s">
        <v>16</v>
      </c>
      <c r="M263" t="s">
        <v>16</v>
      </c>
      <c r="N263">
        <f t="shared" si="15"/>
        <v>9</v>
      </c>
      <c r="O263">
        <f t="shared" si="16"/>
        <v>15</v>
      </c>
    </row>
    <row r="264" spans="5:15" x14ac:dyDescent="0.3">
      <c r="E264" s="5">
        <f t="shared" si="14"/>
        <v>-17.8</v>
      </c>
      <c r="K264" t="b">
        <v>0</v>
      </c>
      <c r="L264" t="s">
        <v>16</v>
      </c>
      <c r="M264" t="s">
        <v>16</v>
      </c>
      <c r="N264">
        <f t="shared" si="15"/>
        <v>9</v>
      </c>
      <c r="O264">
        <f t="shared" si="16"/>
        <v>15</v>
      </c>
    </row>
    <row r="265" spans="5:15" x14ac:dyDescent="0.3">
      <c r="E265" s="5">
        <f t="shared" si="14"/>
        <v>-17.8</v>
      </c>
      <c r="K265" t="b">
        <v>0</v>
      </c>
      <c r="L265" t="s">
        <v>16</v>
      </c>
      <c r="M265" t="s">
        <v>16</v>
      </c>
      <c r="N265">
        <f t="shared" si="15"/>
        <v>9</v>
      </c>
      <c r="O265">
        <f t="shared" si="16"/>
        <v>15</v>
      </c>
    </row>
    <row r="266" spans="5:15" x14ac:dyDescent="0.3">
      <c r="E266" s="5">
        <f t="shared" si="14"/>
        <v>-17.8</v>
      </c>
      <c r="K266" t="b">
        <v>0</v>
      </c>
      <c r="L266" t="s">
        <v>16</v>
      </c>
      <c r="M266" t="s">
        <v>16</v>
      </c>
      <c r="N266">
        <f t="shared" si="15"/>
        <v>9</v>
      </c>
      <c r="O266">
        <f t="shared" si="16"/>
        <v>15</v>
      </c>
    </row>
    <row r="267" spans="5:15" x14ac:dyDescent="0.3">
      <c r="E267" s="5">
        <f t="shared" si="14"/>
        <v>-17.8</v>
      </c>
      <c r="K267" t="b">
        <v>0</v>
      </c>
      <c r="L267" t="s">
        <v>16</v>
      </c>
      <c r="M267" t="s">
        <v>16</v>
      </c>
      <c r="N267">
        <f t="shared" si="15"/>
        <v>9</v>
      </c>
      <c r="O267">
        <f t="shared" si="16"/>
        <v>15</v>
      </c>
    </row>
    <row r="268" spans="5:15" x14ac:dyDescent="0.3">
      <c r="E268" s="5">
        <f t="shared" si="14"/>
        <v>-17.8</v>
      </c>
      <c r="K268" t="b">
        <v>0</v>
      </c>
      <c r="L268" t="s">
        <v>16</v>
      </c>
      <c r="M268" t="s">
        <v>16</v>
      </c>
      <c r="N268">
        <f t="shared" si="15"/>
        <v>9</v>
      </c>
      <c r="O268">
        <f t="shared" si="16"/>
        <v>15</v>
      </c>
    </row>
    <row r="269" spans="5:15" x14ac:dyDescent="0.3">
      <c r="E269" s="5">
        <f t="shared" si="14"/>
        <v>-17.8</v>
      </c>
      <c r="K269" t="b">
        <v>0</v>
      </c>
      <c r="L269" t="s">
        <v>16</v>
      </c>
      <c r="M269" t="s">
        <v>16</v>
      </c>
      <c r="N269">
        <f t="shared" si="15"/>
        <v>9</v>
      </c>
      <c r="O269">
        <f t="shared" si="16"/>
        <v>15</v>
      </c>
    </row>
    <row r="270" spans="5:15" x14ac:dyDescent="0.3">
      <c r="E270" s="5">
        <f t="shared" si="14"/>
        <v>-17.8</v>
      </c>
      <c r="K270" t="b">
        <v>0</v>
      </c>
      <c r="L270" t="s">
        <v>16</v>
      </c>
      <c r="M270" t="s">
        <v>16</v>
      </c>
      <c r="N270">
        <f t="shared" si="15"/>
        <v>9</v>
      </c>
      <c r="O270">
        <f t="shared" si="16"/>
        <v>15</v>
      </c>
    </row>
    <row r="271" spans="5:15" x14ac:dyDescent="0.3">
      <c r="E271" s="5">
        <f t="shared" si="14"/>
        <v>-17.8</v>
      </c>
      <c r="K271" t="b">
        <v>0</v>
      </c>
      <c r="L271" t="s">
        <v>16</v>
      </c>
      <c r="M271" t="s">
        <v>16</v>
      </c>
      <c r="N271">
        <f t="shared" si="15"/>
        <v>9</v>
      </c>
      <c r="O271">
        <f t="shared" si="16"/>
        <v>15</v>
      </c>
    </row>
    <row r="272" spans="5:15" x14ac:dyDescent="0.3">
      <c r="E272" s="5">
        <f t="shared" si="14"/>
        <v>-17.8</v>
      </c>
      <c r="K272" t="b">
        <v>0</v>
      </c>
      <c r="L272" t="s">
        <v>16</v>
      </c>
      <c r="M272" t="s">
        <v>16</v>
      </c>
      <c r="N272">
        <f t="shared" si="15"/>
        <v>9</v>
      </c>
      <c r="O272">
        <f t="shared" si="16"/>
        <v>15</v>
      </c>
    </row>
    <row r="273" spans="5:15" x14ac:dyDescent="0.3">
      <c r="E273" s="5">
        <f t="shared" si="14"/>
        <v>-17.8</v>
      </c>
      <c r="K273" t="b">
        <v>0</v>
      </c>
      <c r="L273" t="s">
        <v>16</v>
      </c>
      <c r="M273" t="s">
        <v>16</v>
      </c>
      <c r="N273">
        <f t="shared" si="15"/>
        <v>9</v>
      </c>
      <c r="O273">
        <f t="shared" si="16"/>
        <v>15</v>
      </c>
    </row>
    <row r="274" spans="5:15" x14ac:dyDescent="0.3">
      <c r="E274" s="5">
        <f t="shared" si="14"/>
        <v>-17.8</v>
      </c>
      <c r="K274" t="b">
        <v>0</v>
      </c>
      <c r="L274" t="s">
        <v>16</v>
      </c>
      <c r="M274" t="s">
        <v>16</v>
      </c>
      <c r="N274">
        <f t="shared" si="15"/>
        <v>9</v>
      </c>
      <c r="O274">
        <f t="shared" si="16"/>
        <v>15</v>
      </c>
    </row>
    <row r="275" spans="5:15" x14ac:dyDescent="0.3">
      <c r="E275" s="5">
        <f t="shared" si="14"/>
        <v>-17.8</v>
      </c>
      <c r="K275" t="b">
        <v>0</v>
      </c>
      <c r="L275" t="s">
        <v>16</v>
      </c>
      <c r="M275" t="s">
        <v>16</v>
      </c>
      <c r="N275">
        <f t="shared" si="15"/>
        <v>9</v>
      </c>
      <c r="O275">
        <f t="shared" si="16"/>
        <v>15</v>
      </c>
    </row>
    <row r="276" spans="5:15" x14ac:dyDescent="0.3">
      <c r="E276" s="5">
        <f t="shared" si="14"/>
        <v>-17.8</v>
      </c>
      <c r="K276" t="b">
        <v>0</v>
      </c>
      <c r="L276" t="s">
        <v>16</v>
      </c>
      <c r="M276" t="s">
        <v>16</v>
      </c>
      <c r="N276">
        <f t="shared" si="15"/>
        <v>9</v>
      </c>
      <c r="O276">
        <f t="shared" si="16"/>
        <v>15</v>
      </c>
    </row>
    <row r="277" spans="5:15" x14ac:dyDescent="0.3">
      <c r="E277" s="5">
        <f t="shared" si="14"/>
        <v>-17.8</v>
      </c>
      <c r="K277" t="b">
        <v>0</v>
      </c>
      <c r="L277" t="s">
        <v>16</v>
      </c>
      <c r="M277" t="s">
        <v>16</v>
      </c>
      <c r="N277">
        <f t="shared" si="15"/>
        <v>9</v>
      </c>
      <c r="O277">
        <f t="shared" si="16"/>
        <v>15</v>
      </c>
    </row>
    <row r="278" spans="5:15" x14ac:dyDescent="0.3">
      <c r="E278" s="5">
        <f t="shared" si="14"/>
        <v>-17.8</v>
      </c>
      <c r="K278" t="b">
        <v>0</v>
      </c>
      <c r="L278" t="s">
        <v>16</v>
      </c>
      <c r="M278" t="s">
        <v>16</v>
      </c>
      <c r="N278">
        <f t="shared" si="15"/>
        <v>9</v>
      </c>
      <c r="O278">
        <f t="shared" si="16"/>
        <v>15</v>
      </c>
    </row>
    <row r="279" spans="5:15" x14ac:dyDescent="0.3">
      <c r="E279" s="5">
        <f t="shared" si="14"/>
        <v>-17.8</v>
      </c>
      <c r="K279" t="b">
        <v>0</v>
      </c>
      <c r="L279" t="s">
        <v>16</v>
      </c>
      <c r="M279" t="s">
        <v>16</v>
      </c>
      <c r="N279">
        <f t="shared" si="15"/>
        <v>9</v>
      </c>
      <c r="O279">
        <f t="shared" si="16"/>
        <v>15</v>
      </c>
    </row>
    <row r="280" spans="5:15" x14ac:dyDescent="0.3">
      <c r="E280" s="5">
        <f t="shared" si="14"/>
        <v>-17.8</v>
      </c>
      <c r="K280" t="b">
        <v>0</v>
      </c>
      <c r="L280" t="s">
        <v>16</v>
      </c>
      <c r="M280" t="s">
        <v>16</v>
      </c>
      <c r="N280">
        <f t="shared" si="15"/>
        <v>9</v>
      </c>
      <c r="O280">
        <f t="shared" si="16"/>
        <v>15</v>
      </c>
    </row>
    <row r="281" spans="5:15" x14ac:dyDescent="0.3">
      <c r="E281" s="5">
        <f t="shared" si="14"/>
        <v>-17.8</v>
      </c>
      <c r="K281" t="b">
        <v>0</v>
      </c>
      <c r="L281" t="s">
        <v>16</v>
      </c>
      <c r="M281" t="s">
        <v>16</v>
      </c>
      <c r="N281">
        <f t="shared" si="15"/>
        <v>9</v>
      </c>
      <c r="O281">
        <f t="shared" si="16"/>
        <v>15</v>
      </c>
    </row>
    <row r="282" spans="5:15" x14ac:dyDescent="0.3">
      <c r="E282" s="5">
        <f t="shared" si="14"/>
        <v>-17.8</v>
      </c>
      <c r="K282" t="b">
        <v>0</v>
      </c>
      <c r="L282" t="s">
        <v>16</v>
      </c>
      <c r="M282" t="s">
        <v>16</v>
      </c>
      <c r="N282">
        <f t="shared" si="15"/>
        <v>9</v>
      </c>
      <c r="O282">
        <f t="shared" si="16"/>
        <v>15</v>
      </c>
    </row>
    <row r="283" spans="5:15" x14ac:dyDescent="0.3">
      <c r="E283" s="5">
        <f t="shared" si="14"/>
        <v>-17.8</v>
      </c>
      <c r="K283" t="b">
        <v>0</v>
      </c>
      <c r="L283" t="s">
        <v>16</v>
      </c>
      <c r="M283" t="s">
        <v>16</v>
      </c>
      <c r="N283">
        <f t="shared" si="15"/>
        <v>9</v>
      </c>
      <c r="O283">
        <f t="shared" si="16"/>
        <v>15</v>
      </c>
    </row>
    <row r="284" spans="5:15" x14ac:dyDescent="0.3">
      <c r="E284" s="5">
        <f t="shared" si="14"/>
        <v>-17.8</v>
      </c>
      <c r="K284" t="b">
        <v>0</v>
      </c>
      <c r="L284" t="s">
        <v>16</v>
      </c>
      <c r="M284" t="s">
        <v>16</v>
      </c>
      <c r="N284">
        <f t="shared" si="15"/>
        <v>9</v>
      </c>
      <c r="O284">
        <f t="shared" si="16"/>
        <v>15</v>
      </c>
    </row>
    <row r="285" spans="5:15" x14ac:dyDescent="0.3">
      <c r="E285" s="5">
        <f t="shared" ref="E285:E348" si="17">ROUND((D285-32)*(5/9),1)</f>
        <v>-17.8</v>
      </c>
      <c r="K285" t="b">
        <v>0</v>
      </c>
      <c r="L285" t="s">
        <v>16</v>
      </c>
      <c r="M285" t="s">
        <v>16</v>
      </c>
      <c r="N285">
        <f t="shared" ref="N285:N348" si="18">IF(I285&lt;9,2,IF(I285&lt;=14,0,IF(I285&lt;=20,1,IF(I285&lt;=29,2,3))))+IF(H285&lt;=40,2,IF(H285&lt;=50,1,IF(H285&lt;=100,0,IF(H285&lt;=110,1,IF(H285&lt;=129,2,3)))))+IF(F285&lt;=70,3,IF(F285&lt;=80,2,IF(F285&lt;=100,1,IF(F285&lt;200,0,IF(F285&gt;=200,2,0)))))+IF(E285&lt;35,2,IF(E285&lt;=38.4,0,2))+IF(M285="Alert",0,IF(M285="Voice",1,IF(M285="Pain",2,IF(M285="Unresponsive",3,0))))</f>
        <v>9</v>
      </c>
      <c r="O285">
        <f t="shared" ref="O285:O348" si="19">IF(I285&lt;=8,3,IF(I285&lt;=11,1,IF(I285&lt;=20,0,IF(I285&lt;=24,2,3))))
+IF(J285&lt;=91,3,IF(J285&lt;=93,2,IF(J285&lt;=95,1,0)))
+IF(K285=TRUE,2,0)
+IF(F285&lt;=90,3,IF(F285&lt;=100,2,IF(F285&lt;=110,1,IF(F285&lt;=219,0,3))))
+IF(H285&lt;=40,3,IF(H285&lt;=50,1,IF(H285&lt;=90,0,IF(H285&lt;=110,1,IF(H285&lt;=130,2,3)))))
+IF(M285="Alert",0,3)
+IF(E285&lt;=35,3,IF(E285&lt;=36,1,IF(E285&lt;=38,0,IF(E285&lt;=39,1,2))))</f>
        <v>15</v>
      </c>
    </row>
    <row r="286" spans="5:15" x14ac:dyDescent="0.3">
      <c r="E286" s="5">
        <f t="shared" si="17"/>
        <v>-17.8</v>
      </c>
      <c r="K286" t="b">
        <v>0</v>
      </c>
      <c r="L286" t="s">
        <v>16</v>
      </c>
      <c r="M286" t="s">
        <v>16</v>
      </c>
      <c r="N286">
        <f t="shared" si="18"/>
        <v>9</v>
      </c>
      <c r="O286">
        <f t="shared" si="19"/>
        <v>15</v>
      </c>
    </row>
    <row r="287" spans="5:15" x14ac:dyDescent="0.3">
      <c r="E287" s="5">
        <f t="shared" si="17"/>
        <v>-17.8</v>
      </c>
      <c r="K287" t="b">
        <v>0</v>
      </c>
      <c r="L287" t="s">
        <v>16</v>
      </c>
      <c r="M287" t="s">
        <v>16</v>
      </c>
      <c r="N287">
        <f t="shared" si="18"/>
        <v>9</v>
      </c>
      <c r="O287">
        <f t="shared" si="19"/>
        <v>15</v>
      </c>
    </row>
    <row r="288" spans="5:15" x14ac:dyDescent="0.3">
      <c r="E288" s="5">
        <f t="shared" si="17"/>
        <v>-17.8</v>
      </c>
      <c r="K288" t="b">
        <v>0</v>
      </c>
      <c r="L288" t="s">
        <v>16</v>
      </c>
      <c r="M288" t="s">
        <v>16</v>
      </c>
      <c r="N288">
        <f t="shared" si="18"/>
        <v>9</v>
      </c>
      <c r="O288">
        <f t="shared" si="19"/>
        <v>15</v>
      </c>
    </row>
    <row r="289" spans="5:15" x14ac:dyDescent="0.3">
      <c r="E289" s="5">
        <f t="shared" si="17"/>
        <v>-17.8</v>
      </c>
      <c r="K289" t="b">
        <v>0</v>
      </c>
      <c r="L289" t="s">
        <v>16</v>
      </c>
      <c r="M289" t="s">
        <v>16</v>
      </c>
      <c r="N289">
        <f t="shared" si="18"/>
        <v>9</v>
      </c>
      <c r="O289">
        <f t="shared" si="19"/>
        <v>15</v>
      </c>
    </row>
    <row r="290" spans="5:15" x14ac:dyDescent="0.3">
      <c r="E290" s="5">
        <f t="shared" si="17"/>
        <v>-17.8</v>
      </c>
      <c r="K290" t="b">
        <v>0</v>
      </c>
      <c r="L290" t="s">
        <v>16</v>
      </c>
      <c r="M290" t="s">
        <v>16</v>
      </c>
      <c r="N290">
        <f t="shared" si="18"/>
        <v>9</v>
      </c>
      <c r="O290">
        <f t="shared" si="19"/>
        <v>15</v>
      </c>
    </row>
    <row r="291" spans="5:15" x14ac:dyDescent="0.3">
      <c r="E291" s="5">
        <f t="shared" si="17"/>
        <v>-17.8</v>
      </c>
      <c r="K291" t="b">
        <v>0</v>
      </c>
      <c r="L291" t="s">
        <v>16</v>
      </c>
      <c r="M291" t="s">
        <v>16</v>
      </c>
      <c r="N291">
        <f t="shared" si="18"/>
        <v>9</v>
      </c>
      <c r="O291">
        <f t="shared" si="19"/>
        <v>15</v>
      </c>
    </row>
    <row r="292" spans="5:15" x14ac:dyDescent="0.3">
      <c r="E292" s="5">
        <f t="shared" si="17"/>
        <v>-17.8</v>
      </c>
      <c r="K292" t="b">
        <v>0</v>
      </c>
      <c r="L292" t="s">
        <v>16</v>
      </c>
      <c r="M292" t="s">
        <v>16</v>
      </c>
      <c r="N292">
        <f t="shared" si="18"/>
        <v>9</v>
      </c>
      <c r="O292">
        <f t="shared" si="19"/>
        <v>15</v>
      </c>
    </row>
    <row r="293" spans="5:15" x14ac:dyDescent="0.3">
      <c r="E293" s="5">
        <f t="shared" si="17"/>
        <v>-17.8</v>
      </c>
      <c r="K293" t="b">
        <v>0</v>
      </c>
      <c r="L293" t="s">
        <v>16</v>
      </c>
      <c r="M293" t="s">
        <v>16</v>
      </c>
      <c r="N293">
        <f t="shared" si="18"/>
        <v>9</v>
      </c>
      <c r="O293">
        <f t="shared" si="19"/>
        <v>15</v>
      </c>
    </row>
    <row r="294" spans="5:15" x14ac:dyDescent="0.3">
      <c r="E294" s="5">
        <f t="shared" si="17"/>
        <v>-17.8</v>
      </c>
      <c r="K294" t="b">
        <v>0</v>
      </c>
      <c r="L294" t="s">
        <v>16</v>
      </c>
      <c r="M294" t="s">
        <v>16</v>
      </c>
      <c r="N294">
        <f t="shared" si="18"/>
        <v>9</v>
      </c>
      <c r="O294">
        <f t="shared" si="19"/>
        <v>15</v>
      </c>
    </row>
    <row r="295" spans="5:15" x14ac:dyDescent="0.3">
      <c r="E295" s="5">
        <f t="shared" si="17"/>
        <v>-17.8</v>
      </c>
      <c r="K295" t="b">
        <v>0</v>
      </c>
      <c r="L295" t="s">
        <v>16</v>
      </c>
      <c r="M295" t="s">
        <v>16</v>
      </c>
      <c r="N295">
        <f t="shared" si="18"/>
        <v>9</v>
      </c>
      <c r="O295">
        <f t="shared" si="19"/>
        <v>15</v>
      </c>
    </row>
    <row r="296" spans="5:15" x14ac:dyDescent="0.3">
      <c r="E296" s="5">
        <f t="shared" si="17"/>
        <v>-17.8</v>
      </c>
      <c r="K296" t="b">
        <v>0</v>
      </c>
      <c r="L296" t="s">
        <v>16</v>
      </c>
      <c r="M296" t="s">
        <v>16</v>
      </c>
      <c r="N296">
        <f t="shared" si="18"/>
        <v>9</v>
      </c>
      <c r="O296">
        <f t="shared" si="19"/>
        <v>15</v>
      </c>
    </row>
    <row r="297" spans="5:15" x14ac:dyDescent="0.3">
      <c r="E297" s="5">
        <f t="shared" si="17"/>
        <v>-17.8</v>
      </c>
      <c r="K297" t="b">
        <v>0</v>
      </c>
      <c r="L297" t="s">
        <v>16</v>
      </c>
      <c r="M297" t="s">
        <v>16</v>
      </c>
      <c r="N297">
        <f t="shared" si="18"/>
        <v>9</v>
      </c>
      <c r="O297">
        <f t="shared" si="19"/>
        <v>15</v>
      </c>
    </row>
    <row r="298" spans="5:15" x14ac:dyDescent="0.3">
      <c r="E298" s="5">
        <f t="shared" si="17"/>
        <v>-17.8</v>
      </c>
      <c r="K298" t="b">
        <v>0</v>
      </c>
      <c r="L298" t="s">
        <v>16</v>
      </c>
      <c r="M298" t="s">
        <v>16</v>
      </c>
      <c r="N298">
        <f t="shared" si="18"/>
        <v>9</v>
      </c>
      <c r="O298">
        <f t="shared" si="19"/>
        <v>15</v>
      </c>
    </row>
    <row r="299" spans="5:15" x14ac:dyDescent="0.3">
      <c r="E299" s="5">
        <f t="shared" si="17"/>
        <v>-17.8</v>
      </c>
      <c r="K299" t="b">
        <v>0</v>
      </c>
      <c r="L299" t="s">
        <v>16</v>
      </c>
      <c r="M299" t="s">
        <v>16</v>
      </c>
      <c r="N299">
        <f t="shared" si="18"/>
        <v>9</v>
      </c>
      <c r="O299">
        <f t="shared" si="19"/>
        <v>15</v>
      </c>
    </row>
    <row r="300" spans="5:15" x14ac:dyDescent="0.3">
      <c r="E300" s="5">
        <f t="shared" si="17"/>
        <v>-17.8</v>
      </c>
      <c r="K300" t="b">
        <v>0</v>
      </c>
      <c r="L300" t="s">
        <v>16</v>
      </c>
      <c r="M300" t="s">
        <v>16</v>
      </c>
      <c r="N300">
        <f t="shared" si="18"/>
        <v>9</v>
      </c>
      <c r="O300">
        <f t="shared" si="19"/>
        <v>15</v>
      </c>
    </row>
    <row r="301" spans="5:15" x14ac:dyDescent="0.3">
      <c r="E301" s="5">
        <f t="shared" si="17"/>
        <v>-17.8</v>
      </c>
      <c r="K301" t="b">
        <v>0</v>
      </c>
      <c r="L301" t="s">
        <v>16</v>
      </c>
      <c r="M301" t="s">
        <v>16</v>
      </c>
      <c r="N301">
        <f t="shared" si="18"/>
        <v>9</v>
      </c>
      <c r="O301">
        <f t="shared" si="19"/>
        <v>15</v>
      </c>
    </row>
    <row r="302" spans="5:15" x14ac:dyDescent="0.3">
      <c r="E302" s="5">
        <f t="shared" si="17"/>
        <v>-17.8</v>
      </c>
      <c r="K302" t="b">
        <v>0</v>
      </c>
      <c r="L302" t="s">
        <v>16</v>
      </c>
      <c r="M302" t="s">
        <v>16</v>
      </c>
      <c r="N302">
        <f t="shared" si="18"/>
        <v>9</v>
      </c>
      <c r="O302">
        <f t="shared" si="19"/>
        <v>15</v>
      </c>
    </row>
    <row r="303" spans="5:15" x14ac:dyDescent="0.3">
      <c r="E303" s="5">
        <f t="shared" si="17"/>
        <v>-17.8</v>
      </c>
      <c r="K303" t="b">
        <v>0</v>
      </c>
      <c r="L303" t="s">
        <v>16</v>
      </c>
      <c r="M303" t="s">
        <v>16</v>
      </c>
      <c r="N303">
        <f t="shared" si="18"/>
        <v>9</v>
      </c>
      <c r="O303">
        <f t="shared" si="19"/>
        <v>15</v>
      </c>
    </row>
    <row r="304" spans="5:15" x14ac:dyDescent="0.3">
      <c r="E304" s="5">
        <f t="shared" si="17"/>
        <v>-17.8</v>
      </c>
      <c r="K304" t="b">
        <v>0</v>
      </c>
      <c r="L304" t="s">
        <v>16</v>
      </c>
      <c r="M304" t="s">
        <v>16</v>
      </c>
      <c r="N304">
        <f t="shared" si="18"/>
        <v>9</v>
      </c>
      <c r="O304">
        <f t="shared" si="19"/>
        <v>15</v>
      </c>
    </row>
    <row r="305" spans="5:15" x14ac:dyDescent="0.3">
      <c r="E305" s="5">
        <f t="shared" si="17"/>
        <v>-17.8</v>
      </c>
      <c r="K305" t="b">
        <v>0</v>
      </c>
      <c r="L305" t="s">
        <v>16</v>
      </c>
      <c r="M305" t="s">
        <v>16</v>
      </c>
      <c r="N305">
        <f t="shared" si="18"/>
        <v>9</v>
      </c>
      <c r="O305">
        <f t="shared" si="19"/>
        <v>15</v>
      </c>
    </row>
    <row r="306" spans="5:15" x14ac:dyDescent="0.3">
      <c r="E306" s="5">
        <f t="shared" si="17"/>
        <v>-17.8</v>
      </c>
      <c r="K306" t="b">
        <v>0</v>
      </c>
      <c r="L306" t="s">
        <v>16</v>
      </c>
      <c r="M306" t="s">
        <v>16</v>
      </c>
      <c r="N306">
        <f t="shared" si="18"/>
        <v>9</v>
      </c>
      <c r="O306">
        <f t="shared" si="19"/>
        <v>15</v>
      </c>
    </row>
    <row r="307" spans="5:15" x14ac:dyDescent="0.3">
      <c r="E307" s="5">
        <f t="shared" si="17"/>
        <v>-17.8</v>
      </c>
      <c r="K307" t="b">
        <v>0</v>
      </c>
      <c r="L307" t="s">
        <v>16</v>
      </c>
      <c r="M307" t="s">
        <v>16</v>
      </c>
      <c r="N307">
        <f t="shared" si="18"/>
        <v>9</v>
      </c>
      <c r="O307">
        <f t="shared" si="19"/>
        <v>15</v>
      </c>
    </row>
    <row r="308" spans="5:15" x14ac:dyDescent="0.3">
      <c r="E308" s="5">
        <f t="shared" si="17"/>
        <v>-17.8</v>
      </c>
      <c r="K308" t="b">
        <v>0</v>
      </c>
      <c r="L308" t="s">
        <v>16</v>
      </c>
      <c r="M308" t="s">
        <v>16</v>
      </c>
      <c r="N308">
        <f t="shared" si="18"/>
        <v>9</v>
      </c>
      <c r="O308">
        <f t="shared" si="19"/>
        <v>15</v>
      </c>
    </row>
    <row r="309" spans="5:15" x14ac:dyDescent="0.3">
      <c r="E309" s="5">
        <f t="shared" si="17"/>
        <v>-17.8</v>
      </c>
      <c r="K309" t="b">
        <v>0</v>
      </c>
      <c r="L309" t="s">
        <v>16</v>
      </c>
      <c r="M309" t="s">
        <v>16</v>
      </c>
      <c r="N309">
        <f t="shared" si="18"/>
        <v>9</v>
      </c>
      <c r="O309">
        <f t="shared" si="19"/>
        <v>15</v>
      </c>
    </row>
    <row r="310" spans="5:15" x14ac:dyDescent="0.3">
      <c r="E310" s="5">
        <f t="shared" si="17"/>
        <v>-17.8</v>
      </c>
      <c r="K310" t="b">
        <v>0</v>
      </c>
      <c r="L310" t="s">
        <v>16</v>
      </c>
      <c r="M310" t="s">
        <v>16</v>
      </c>
      <c r="N310">
        <f t="shared" si="18"/>
        <v>9</v>
      </c>
      <c r="O310">
        <f t="shared" si="19"/>
        <v>15</v>
      </c>
    </row>
    <row r="311" spans="5:15" x14ac:dyDescent="0.3">
      <c r="E311" s="5">
        <f t="shared" si="17"/>
        <v>-17.8</v>
      </c>
      <c r="K311" t="b">
        <v>0</v>
      </c>
      <c r="L311" t="s">
        <v>16</v>
      </c>
      <c r="M311" t="s">
        <v>16</v>
      </c>
      <c r="N311">
        <f t="shared" si="18"/>
        <v>9</v>
      </c>
      <c r="O311">
        <f t="shared" si="19"/>
        <v>15</v>
      </c>
    </row>
    <row r="312" spans="5:15" x14ac:dyDescent="0.3">
      <c r="E312" s="5">
        <f t="shared" si="17"/>
        <v>-17.8</v>
      </c>
      <c r="K312" t="b">
        <v>0</v>
      </c>
      <c r="L312" t="s">
        <v>16</v>
      </c>
      <c r="M312" t="s">
        <v>16</v>
      </c>
      <c r="N312">
        <f t="shared" si="18"/>
        <v>9</v>
      </c>
      <c r="O312">
        <f t="shared" si="19"/>
        <v>15</v>
      </c>
    </row>
    <row r="313" spans="5:15" x14ac:dyDescent="0.3">
      <c r="E313" s="5">
        <f t="shared" si="17"/>
        <v>-17.8</v>
      </c>
      <c r="K313" t="b">
        <v>0</v>
      </c>
      <c r="L313" t="s">
        <v>16</v>
      </c>
      <c r="M313" t="s">
        <v>16</v>
      </c>
      <c r="N313">
        <f t="shared" si="18"/>
        <v>9</v>
      </c>
      <c r="O313">
        <f t="shared" si="19"/>
        <v>15</v>
      </c>
    </row>
    <row r="314" spans="5:15" x14ac:dyDescent="0.3">
      <c r="E314" s="5">
        <f t="shared" si="17"/>
        <v>-17.8</v>
      </c>
      <c r="K314" t="b">
        <v>0</v>
      </c>
      <c r="L314" t="s">
        <v>16</v>
      </c>
      <c r="M314" t="s">
        <v>16</v>
      </c>
      <c r="N314">
        <f t="shared" si="18"/>
        <v>9</v>
      </c>
      <c r="O314">
        <f t="shared" si="19"/>
        <v>15</v>
      </c>
    </row>
    <row r="315" spans="5:15" x14ac:dyDescent="0.3">
      <c r="E315" s="5">
        <f t="shared" si="17"/>
        <v>-17.8</v>
      </c>
      <c r="K315" t="b">
        <v>0</v>
      </c>
      <c r="L315" t="s">
        <v>16</v>
      </c>
      <c r="M315" t="s">
        <v>16</v>
      </c>
      <c r="N315">
        <f t="shared" si="18"/>
        <v>9</v>
      </c>
      <c r="O315">
        <f t="shared" si="19"/>
        <v>15</v>
      </c>
    </row>
    <row r="316" spans="5:15" x14ac:dyDescent="0.3">
      <c r="E316" s="5">
        <f t="shared" si="17"/>
        <v>-17.8</v>
      </c>
      <c r="K316" t="b">
        <v>0</v>
      </c>
      <c r="L316" t="s">
        <v>16</v>
      </c>
      <c r="M316" t="s">
        <v>16</v>
      </c>
      <c r="N316">
        <f t="shared" si="18"/>
        <v>9</v>
      </c>
      <c r="O316">
        <f t="shared" si="19"/>
        <v>15</v>
      </c>
    </row>
    <row r="317" spans="5:15" x14ac:dyDescent="0.3">
      <c r="E317" s="5">
        <f t="shared" si="17"/>
        <v>-17.8</v>
      </c>
      <c r="K317" t="b">
        <v>0</v>
      </c>
      <c r="L317" t="s">
        <v>16</v>
      </c>
      <c r="M317" t="s">
        <v>16</v>
      </c>
      <c r="N317">
        <f t="shared" si="18"/>
        <v>9</v>
      </c>
      <c r="O317">
        <f t="shared" si="19"/>
        <v>15</v>
      </c>
    </row>
    <row r="318" spans="5:15" x14ac:dyDescent="0.3">
      <c r="E318" s="5">
        <f t="shared" si="17"/>
        <v>-17.8</v>
      </c>
      <c r="K318" t="b">
        <v>0</v>
      </c>
      <c r="L318" t="s">
        <v>16</v>
      </c>
      <c r="M318" t="s">
        <v>16</v>
      </c>
      <c r="N318">
        <f t="shared" si="18"/>
        <v>9</v>
      </c>
      <c r="O318">
        <f t="shared" si="19"/>
        <v>15</v>
      </c>
    </row>
    <row r="319" spans="5:15" x14ac:dyDescent="0.3">
      <c r="E319" s="5">
        <f t="shared" si="17"/>
        <v>-17.8</v>
      </c>
      <c r="K319" t="b">
        <v>0</v>
      </c>
      <c r="L319" t="s">
        <v>16</v>
      </c>
      <c r="M319" t="s">
        <v>16</v>
      </c>
      <c r="N319">
        <f t="shared" si="18"/>
        <v>9</v>
      </c>
      <c r="O319">
        <f t="shared" si="19"/>
        <v>15</v>
      </c>
    </row>
    <row r="320" spans="5:15" x14ac:dyDescent="0.3">
      <c r="E320" s="5">
        <f t="shared" si="17"/>
        <v>-17.8</v>
      </c>
      <c r="K320" t="b">
        <v>0</v>
      </c>
      <c r="L320" t="s">
        <v>16</v>
      </c>
      <c r="M320" t="s">
        <v>16</v>
      </c>
      <c r="N320">
        <f t="shared" si="18"/>
        <v>9</v>
      </c>
      <c r="O320">
        <f t="shared" si="19"/>
        <v>15</v>
      </c>
    </row>
    <row r="321" spans="5:15" x14ac:dyDescent="0.3">
      <c r="E321" s="5">
        <f t="shared" si="17"/>
        <v>-17.8</v>
      </c>
      <c r="K321" t="b">
        <v>0</v>
      </c>
      <c r="L321" t="s">
        <v>16</v>
      </c>
      <c r="M321" t="s">
        <v>16</v>
      </c>
      <c r="N321">
        <f t="shared" si="18"/>
        <v>9</v>
      </c>
      <c r="O321">
        <f t="shared" si="19"/>
        <v>15</v>
      </c>
    </row>
    <row r="322" spans="5:15" x14ac:dyDescent="0.3">
      <c r="E322" s="5">
        <f t="shared" si="17"/>
        <v>-17.8</v>
      </c>
      <c r="K322" t="b">
        <v>0</v>
      </c>
      <c r="L322" t="s">
        <v>16</v>
      </c>
      <c r="M322" t="s">
        <v>16</v>
      </c>
      <c r="N322">
        <f t="shared" si="18"/>
        <v>9</v>
      </c>
      <c r="O322">
        <f t="shared" si="19"/>
        <v>15</v>
      </c>
    </row>
    <row r="323" spans="5:15" x14ac:dyDescent="0.3">
      <c r="E323" s="5">
        <f t="shared" si="17"/>
        <v>-17.8</v>
      </c>
      <c r="K323" t="b">
        <v>0</v>
      </c>
      <c r="L323" t="s">
        <v>16</v>
      </c>
      <c r="M323" t="s">
        <v>16</v>
      </c>
      <c r="N323">
        <f t="shared" si="18"/>
        <v>9</v>
      </c>
      <c r="O323">
        <f t="shared" si="19"/>
        <v>15</v>
      </c>
    </row>
    <row r="324" spans="5:15" x14ac:dyDescent="0.3">
      <c r="E324" s="5">
        <f t="shared" si="17"/>
        <v>-17.8</v>
      </c>
      <c r="K324" t="b">
        <v>0</v>
      </c>
      <c r="L324" t="s">
        <v>16</v>
      </c>
      <c r="M324" t="s">
        <v>16</v>
      </c>
      <c r="N324">
        <f t="shared" si="18"/>
        <v>9</v>
      </c>
      <c r="O324">
        <f t="shared" si="19"/>
        <v>15</v>
      </c>
    </row>
    <row r="325" spans="5:15" x14ac:dyDescent="0.3">
      <c r="E325" s="5">
        <f t="shared" si="17"/>
        <v>-17.8</v>
      </c>
      <c r="K325" t="b">
        <v>0</v>
      </c>
      <c r="L325" t="s">
        <v>16</v>
      </c>
      <c r="M325" t="s">
        <v>16</v>
      </c>
      <c r="N325">
        <f t="shared" si="18"/>
        <v>9</v>
      </c>
      <c r="O325">
        <f t="shared" si="19"/>
        <v>15</v>
      </c>
    </row>
    <row r="326" spans="5:15" x14ac:dyDescent="0.3">
      <c r="E326" s="5">
        <f t="shared" si="17"/>
        <v>-17.8</v>
      </c>
      <c r="K326" t="b">
        <v>0</v>
      </c>
      <c r="L326" t="s">
        <v>16</v>
      </c>
      <c r="M326" t="s">
        <v>16</v>
      </c>
      <c r="N326">
        <f t="shared" si="18"/>
        <v>9</v>
      </c>
      <c r="O326">
        <f t="shared" si="19"/>
        <v>15</v>
      </c>
    </row>
    <row r="327" spans="5:15" x14ac:dyDescent="0.3">
      <c r="E327" s="5">
        <f t="shared" si="17"/>
        <v>-17.8</v>
      </c>
      <c r="K327" t="b">
        <v>0</v>
      </c>
      <c r="L327" t="s">
        <v>16</v>
      </c>
      <c r="M327" t="s">
        <v>16</v>
      </c>
      <c r="N327">
        <f t="shared" si="18"/>
        <v>9</v>
      </c>
      <c r="O327">
        <f t="shared" si="19"/>
        <v>15</v>
      </c>
    </row>
    <row r="328" spans="5:15" x14ac:dyDescent="0.3">
      <c r="E328" s="5">
        <f t="shared" si="17"/>
        <v>-17.8</v>
      </c>
      <c r="K328" t="b">
        <v>0</v>
      </c>
      <c r="L328" t="s">
        <v>16</v>
      </c>
      <c r="M328" t="s">
        <v>16</v>
      </c>
      <c r="N328">
        <f t="shared" si="18"/>
        <v>9</v>
      </c>
      <c r="O328">
        <f t="shared" si="19"/>
        <v>15</v>
      </c>
    </row>
    <row r="329" spans="5:15" x14ac:dyDescent="0.3">
      <c r="E329" s="5">
        <f t="shared" si="17"/>
        <v>-17.8</v>
      </c>
      <c r="K329" t="b">
        <v>0</v>
      </c>
      <c r="L329" t="s">
        <v>16</v>
      </c>
      <c r="M329" t="s">
        <v>16</v>
      </c>
      <c r="N329">
        <f t="shared" si="18"/>
        <v>9</v>
      </c>
      <c r="O329">
        <f t="shared" si="19"/>
        <v>15</v>
      </c>
    </row>
    <row r="330" spans="5:15" x14ac:dyDescent="0.3">
      <c r="E330" s="5">
        <f t="shared" si="17"/>
        <v>-17.8</v>
      </c>
      <c r="K330" t="b">
        <v>0</v>
      </c>
      <c r="L330" t="s">
        <v>16</v>
      </c>
      <c r="M330" t="s">
        <v>16</v>
      </c>
      <c r="N330">
        <f t="shared" si="18"/>
        <v>9</v>
      </c>
      <c r="O330">
        <f t="shared" si="19"/>
        <v>15</v>
      </c>
    </row>
    <row r="331" spans="5:15" x14ac:dyDescent="0.3">
      <c r="E331" s="5">
        <f t="shared" si="17"/>
        <v>-17.8</v>
      </c>
      <c r="K331" t="b">
        <v>0</v>
      </c>
      <c r="L331" t="s">
        <v>16</v>
      </c>
      <c r="M331" t="s">
        <v>16</v>
      </c>
      <c r="N331">
        <f t="shared" si="18"/>
        <v>9</v>
      </c>
      <c r="O331">
        <f t="shared" si="19"/>
        <v>15</v>
      </c>
    </row>
    <row r="332" spans="5:15" x14ac:dyDescent="0.3">
      <c r="E332" s="5">
        <f t="shared" si="17"/>
        <v>-17.8</v>
      </c>
      <c r="K332" t="b">
        <v>0</v>
      </c>
      <c r="L332" t="s">
        <v>16</v>
      </c>
      <c r="M332" t="s">
        <v>16</v>
      </c>
      <c r="N332">
        <f t="shared" si="18"/>
        <v>9</v>
      </c>
      <c r="O332">
        <f t="shared" si="19"/>
        <v>15</v>
      </c>
    </row>
    <row r="333" spans="5:15" x14ac:dyDescent="0.3">
      <c r="E333" s="5">
        <f t="shared" si="17"/>
        <v>-17.8</v>
      </c>
      <c r="K333" t="b">
        <v>0</v>
      </c>
      <c r="L333" t="s">
        <v>16</v>
      </c>
      <c r="M333" t="s">
        <v>16</v>
      </c>
      <c r="N333">
        <f t="shared" si="18"/>
        <v>9</v>
      </c>
      <c r="O333">
        <f t="shared" si="19"/>
        <v>15</v>
      </c>
    </row>
    <row r="334" spans="5:15" x14ac:dyDescent="0.3">
      <c r="E334" s="5">
        <f t="shared" si="17"/>
        <v>-17.8</v>
      </c>
      <c r="K334" t="b">
        <v>0</v>
      </c>
      <c r="L334" t="s">
        <v>16</v>
      </c>
      <c r="M334" t="s">
        <v>16</v>
      </c>
      <c r="N334">
        <f t="shared" si="18"/>
        <v>9</v>
      </c>
      <c r="O334">
        <f t="shared" si="19"/>
        <v>15</v>
      </c>
    </row>
    <row r="335" spans="5:15" x14ac:dyDescent="0.3">
      <c r="E335" s="5">
        <f t="shared" si="17"/>
        <v>-17.8</v>
      </c>
      <c r="K335" t="b">
        <v>0</v>
      </c>
      <c r="L335" t="s">
        <v>16</v>
      </c>
      <c r="M335" t="s">
        <v>16</v>
      </c>
      <c r="N335">
        <f t="shared" si="18"/>
        <v>9</v>
      </c>
      <c r="O335">
        <f t="shared" si="19"/>
        <v>15</v>
      </c>
    </row>
    <row r="336" spans="5:15" x14ac:dyDescent="0.3">
      <c r="E336" s="5">
        <f t="shared" si="17"/>
        <v>-17.8</v>
      </c>
      <c r="K336" t="b">
        <v>0</v>
      </c>
      <c r="L336" t="s">
        <v>16</v>
      </c>
      <c r="M336" t="s">
        <v>16</v>
      </c>
      <c r="N336">
        <f t="shared" si="18"/>
        <v>9</v>
      </c>
      <c r="O336">
        <f t="shared" si="19"/>
        <v>15</v>
      </c>
    </row>
    <row r="337" spans="5:15" x14ac:dyDescent="0.3">
      <c r="E337" s="5">
        <f t="shared" si="17"/>
        <v>-17.8</v>
      </c>
      <c r="K337" t="b">
        <v>0</v>
      </c>
      <c r="L337" t="s">
        <v>16</v>
      </c>
      <c r="M337" t="s">
        <v>16</v>
      </c>
      <c r="N337">
        <f t="shared" si="18"/>
        <v>9</v>
      </c>
      <c r="O337">
        <f t="shared" si="19"/>
        <v>15</v>
      </c>
    </row>
    <row r="338" spans="5:15" x14ac:dyDescent="0.3">
      <c r="E338" s="5">
        <f t="shared" si="17"/>
        <v>-17.8</v>
      </c>
      <c r="K338" t="b">
        <v>0</v>
      </c>
      <c r="L338" t="s">
        <v>16</v>
      </c>
      <c r="M338" t="s">
        <v>16</v>
      </c>
      <c r="N338">
        <f t="shared" si="18"/>
        <v>9</v>
      </c>
      <c r="O338">
        <f t="shared" si="19"/>
        <v>15</v>
      </c>
    </row>
    <row r="339" spans="5:15" x14ac:dyDescent="0.3">
      <c r="E339" s="5">
        <f t="shared" si="17"/>
        <v>-17.8</v>
      </c>
      <c r="K339" t="b">
        <v>0</v>
      </c>
      <c r="L339" t="s">
        <v>16</v>
      </c>
      <c r="M339" t="s">
        <v>16</v>
      </c>
      <c r="N339">
        <f t="shared" si="18"/>
        <v>9</v>
      </c>
      <c r="O339">
        <f t="shared" si="19"/>
        <v>15</v>
      </c>
    </row>
    <row r="340" spans="5:15" x14ac:dyDescent="0.3">
      <c r="E340" s="5">
        <f t="shared" si="17"/>
        <v>-17.8</v>
      </c>
      <c r="K340" t="b">
        <v>0</v>
      </c>
      <c r="L340" t="s">
        <v>16</v>
      </c>
      <c r="M340" t="s">
        <v>16</v>
      </c>
      <c r="N340">
        <f t="shared" si="18"/>
        <v>9</v>
      </c>
      <c r="O340">
        <f t="shared" si="19"/>
        <v>15</v>
      </c>
    </row>
    <row r="341" spans="5:15" x14ac:dyDescent="0.3">
      <c r="E341" s="5">
        <f t="shared" si="17"/>
        <v>-17.8</v>
      </c>
      <c r="K341" t="b">
        <v>0</v>
      </c>
      <c r="L341" t="s">
        <v>16</v>
      </c>
      <c r="M341" t="s">
        <v>16</v>
      </c>
      <c r="N341">
        <f t="shared" si="18"/>
        <v>9</v>
      </c>
      <c r="O341">
        <f t="shared" si="19"/>
        <v>15</v>
      </c>
    </row>
    <row r="342" spans="5:15" x14ac:dyDescent="0.3">
      <c r="E342" s="5">
        <f t="shared" si="17"/>
        <v>-17.8</v>
      </c>
      <c r="K342" t="b">
        <v>0</v>
      </c>
      <c r="L342" t="s">
        <v>16</v>
      </c>
      <c r="M342" t="s">
        <v>16</v>
      </c>
      <c r="N342">
        <f t="shared" si="18"/>
        <v>9</v>
      </c>
      <c r="O342">
        <f t="shared" si="19"/>
        <v>15</v>
      </c>
    </row>
    <row r="343" spans="5:15" x14ac:dyDescent="0.3">
      <c r="E343" s="5">
        <f t="shared" si="17"/>
        <v>-17.8</v>
      </c>
      <c r="K343" t="b">
        <v>0</v>
      </c>
      <c r="L343" t="s">
        <v>16</v>
      </c>
      <c r="M343" t="s">
        <v>16</v>
      </c>
      <c r="N343">
        <f t="shared" si="18"/>
        <v>9</v>
      </c>
      <c r="O343">
        <f t="shared" si="19"/>
        <v>15</v>
      </c>
    </row>
    <row r="344" spans="5:15" x14ac:dyDescent="0.3">
      <c r="E344" s="5">
        <f t="shared" si="17"/>
        <v>-17.8</v>
      </c>
      <c r="K344" t="b">
        <v>0</v>
      </c>
      <c r="L344" t="s">
        <v>16</v>
      </c>
      <c r="M344" t="s">
        <v>16</v>
      </c>
      <c r="N344">
        <f t="shared" si="18"/>
        <v>9</v>
      </c>
      <c r="O344">
        <f t="shared" si="19"/>
        <v>15</v>
      </c>
    </row>
    <row r="345" spans="5:15" x14ac:dyDescent="0.3">
      <c r="E345" s="5">
        <f t="shared" si="17"/>
        <v>-17.8</v>
      </c>
      <c r="K345" t="b">
        <v>0</v>
      </c>
      <c r="L345" t="s">
        <v>16</v>
      </c>
      <c r="M345" t="s">
        <v>16</v>
      </c>
      <c r="N345">
        <f t="shared" si="18"/>
        <v>9</v>
      </c>
      <c r="O345">
        <f t="shared" si="19"/>
        <v>15</v>
      </c>
    </row>
    <row r="346" spans="5:15" x14ac:dyDescent="0.3">
      <c r="E346" s="5">
        <f t="shared" si="17"/>
        <v>-17.8</v>
      </c>
      <c r="K346" t="b">
        <v>0</v>
      </c>
      <c r="L346" t="s">
        <v>16</v>
      </c>
      <c r="M346" t="s">
        <v>16</v>
      </c>
      <c r="N346">
        <f t="shared" si="18"/>
        <v>9</v>
      </c>
      <c r="O346">
        <f t="shared" si="19"/>
        <v>15</v>
      </c>
    </row>
    <row r="347" spans="5:15" x14ac:dyDescent="0.3">
      <c r="E347" s="5">
        <f t="shared" si="17"/>
        <v>-17.8</v>
      </c>
      <c r="K347" t="b">
        <v>0</v>
      </c>
      <c r="L347" t="s">
        <v>16</v>
      </c>
      <c r="M347" t="s">
        <v>16</v>
      </c>
      <c r="N347">
        <f t="shared" si="18"/>
        <v>9</v>
      </c>
      <c r="O347">
        <f t="shared" si="19"/>
        <v>15</v>
      </c>
    </row>
    <row r="348" spans="5:15" x14ac:dyDescent="0.3">
      <c r="E348" s="5">
        <f t="shared" si="17"/>
        <v>-17.8</v>
      </c>
      <c r="K348" t="b">
        <v>0</v>
      </c>
      <c r="L348" t="s">
        <v>16</v>
      </c>
      <c r="M348" t="s">
        <v>16</v>
      </c>
      <c r="N348">
        <f t="shared" si="18"/>
        <v>9</v>
      </c>
      <c r="O348">
        <f t="shared" si="19"/>
        <v>15</v>
      </c>
    </row>
    <row r="349" spans="5:15" x14ac:dyDescent="0.3">
      <c r="E349" s="5">
        <f t="shared" ref="E349:E351" si="20">ROUND((D349-32)*(5/9),1)</f>
        <v>-17.8</v>
      </c>
      <c r="K349" t="b">
        <v>0</v>
      </c>
      <c r="L349" t="s">
        <v>16</v>
      </c>
      <c r="M349" t="s">
        <v>16</v>
      </c>
      <c r="N349">
        <f t="shared" ref="N349:N354" si="21">IF(I349&lt;9,2,IF(I349&lt;=14,0,IF(I349&lt;=20,1,IF(I349&lt;=29,2,3))))+IF(H349&lt;=40,2,IF(H349&lt;=50,1,IF(H349&lt;=100,0,IF(H349&lt;=110,1,IF(H349&lt;=129,2,3)))))+IF(F349&lt;=70,3,IF(F349&lt;=80,2,IF(F349&lt;=100,1,IF(F349&lt;200,0,IF(F349&gt;=200,2,0)))))+IF(E349&lt;35,2,IF(E349&lt;=38.4,0,2))+IF(M349="Alert",0,IF(M349="Voice",1,IF(M349="Pain",2,IF(M349="Unresponsive",3,0))))</f>
        <v>9</v>
      </c>
      <c r="O349">
        <f t="shared" ref="O349:O354" si="22">IF(I349&lt;=8,3,IF(I349&lt;=11,1,IF(I349&lt;=20,0,IF(I349&lt;=24,2,3))))
+IF(J349&lt;=91,3,IF(J349&lt;=93,2,IF(J349&lt;=95,1,0)))
+IF(K349=TRUE,2,0)
+IF(F349&lt;=90,3,IF(F349&lt;=100,2,IF(F349&lt;=110,1,IF(F349&lt;=219,0,3))))
+IF(H349&lt;=40,3,IF(H349&lt;=50,1,IF(H349&lt;=90,0,IF(H349&lt;=110,1,IF(H349&lt;=130,2,3)))))
+IF(M349="Alert",0,3)
+IF(E349&lt;=35,3,IF(E349&lt;=36,1,IF(E349&lt;=38,0,IF(E349&lt;=39,1,2))))</f>
        <v>15</v>
      </c>
    </row>
    <row r="350" spans="5:15" x14ac:dyDescent="0.3">
      <c r="E350" s="5">
        <f t="shared" si="20"/>
        <v>-17.8</v>
      </c>
      <c r="K350" t="b">
        <v>0</v>
      </c>
      <c r="L350" t="s">
        <v>16</v>
      </c>
      <c r="M350" t="s">
        <v>16</v>
      </c>
      <c r="N350">
        <f t="shared" si="21"/>
        <v>9</v>
      </c>
      <c r="O350">
        <f t="shared" si="22"/>
        <v>15</v>
      </c>
    </row>
    <row r="351" spans="5:15" x14ac:dyDescent="0.3">
      <c r="E351" s="5">
        <f t="shared" si="20"/>
        <v>-17.8</v>
      </c>
      <c r="K351" t="b">
        <v>0</v>
      </c>
      <c r="L351" t="s">
        <v>16</v>
      </c>
      <c r="M351" t="s">
        <v>16</v>
      </c>
      <c r="N351">
        <f t="shared" si="21"/>
        <v>9</v>
      </c>
      <c r="O351">
        <f t="shared" si="22"/>
        <v>15</v>
      </c>
    </row>
    <row r="352" spans="5:15" x14ac:dyDescent="0.3">
      <c r="K352" t="b">
        <v>0</v>
      </c>
      <c r="L352" t="s">
        <v>16</v>
      </c>
      <c r="M352" t="s">
        <v>16</v>
      </c>
      <c r="N352">
        <f t="shared" si="21"/>
        <v>9</v>
      </c>
      <c r="O352">
        <f t="shared" si="22"/>
        <v>15</v>
      </c>
    </row>
    <row r="353" spans="11:15" x14ac:dyDescent="0.3">
      <c r="K353" t="b">
        <v>0</v>
      </c>
      <c r="L353" t="s">
        <v>16</v>
      </c>
      <c r="M353" t="s">
        <v>16</v>
      </c>
      <c r="N353">
        <f t="shared" si="21"/>
        <v>9</v>
      </c>
      <c r="O353">
        <f t="shared" si="22"/>
        <v>15</v>
      </c>
    </row>
    <row r="354" spans="11:15" x14ac:dyDescent="0.3">
      <c r="K354" t="b">
        <v>0</v>
      </c>
      <c r="L354" t="s">
        <v>16</v>
      </c>
      <c r="M354" t="s">
        <v>16</v>
      </c>
      <c r="N354">
        <f t="shared" si="21"/>
        <v>9</v>
      </c>
      <c r="O354">
        <f t="shared" si="22"/>
        <v>15</v>
      </c>
    </row>
  </sheetData>
  <pageMargins left="0.75" right="0.75" top="1" bottom="1" header="0.5" footer="0.5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B827A1-56F7-4AF1-BB4C-2506898EB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Tabela3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Olavo Defendi Dalberto</cp:lastModifiedBy>
  <cp:lastPrinted>2026-03-04T16:40:13Z</cp:lastPrinted>
  <dcterms:created xsi:type="dcterms:W3CDTF">2026-02-21T12:40:03Z</dcterms:created>
  <dcterms:modified xsi:type="dcterms:W3CDTF">2026-03-05T02:41:51Z</dcterms:modified>
</cp:coreProperties>
</file>